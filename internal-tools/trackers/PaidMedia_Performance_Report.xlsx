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Google Ads" sheetId="2" state="visible" r:id="rId4"/>
    <sheet name="Meta Ads" sheetId="3" state="visible" r:id="rId5"/>
    <sheet name="ROAS Analysis" sheetId="4" state="visible" r:id="rId6"/>
    <sheet name="Budget Pacing" sheetId="5" state="visible" r:id="rId7"/>
    <sheet name="Recommendation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<sst xmlns="http://schemas.openxmlformats.org/spreadsheetml/2006/main" count="223" uniqueCount="146">
  <si>
    <t xml:space="preserve">PAID MEDIA PERFORMANCE REPORT</t>
  </si>
  <si>
    <t xml:space="preserve">Google Ads + Meta Ads  |  [Client Name]  |  [Reporting Period]  |  Prepared by: Carlos M.</t>
  </si>
  <si>
    <t xml:space="preserve">EXECUTIVE SNAPSHOT</t>
  </si>
  <si>
    <t xml:space="preserve">Total Spend</t>
  </si>
  <si>
    <t xml:space="preserve">Total Revenue</t>
  </si>
  <si>
    <t xml:space="preserve">Blended ROAS</t>
  </si>
  <si>
    <t xml:space="preserve">Total Leads</t>
  </si>
  <si>
    <t xml:space="preserve">Blended CPL</t>
  </si>
  <si>
    <t xml:space="preserve">Impressions</t>
  </si>
  <si>
    <t xml:space="preserve">Avg CTR</t>
  </si>
  <si>
    <t xml:space="preserve">Conv. Rate</t>
  </si>
  <si>
    <t xml:space="preserve">PERIOD-OVER-PERIOD COMPARISON</t>
  </si>
  <si>
    <t xml:space="preserve">Metric</t>
  </si>
  <si>
    <t xml:space="preserve">This Period</t>
  </si>
  <si>
    <t xml:space="preserve">Prior Period</t>
  </si>
  <si>
    <t xml:space="preserve">Change (%)</t>
  </si>
  <si>
    <t xml:space="preserve">Change ($)</t>
  </si>
  <si>
    <t xml:space="preserve">Status</t>
  </si>
  <si>
    <t xml:space="preserve">Target</t>
  </si>
  <si>
    <t xml:space="preserve">vs. Target</t>
  </si>
  <si>
    <t xml:space="preserve">On Track</t>
  </si>
  <si>
    <t xml:space="preserve">Watch</t>
  </si>
  <si>
    <t xml:space="preserve">Improved</t>
  </si>
  <si>
    <t xml:space="preserve">Carlos M.  |  Marketing Analytics Specialist  |  M.S. Marketing Analytics  |  carlosamunoz.com</t>
  </si>
  <si>
    <t xml:space="preserve">GOOGLE ADS PERFORMANCE</t>
  </si>
  <si>
    <t xml:space="preserve">Campaign-Level Summary</t>
  </si>
  <si>
    <t xml:space="preserve">Campaign</t>
  </si>
  <si>
    <t xml:space="preserve">Spend ($)</t>
  </si>
  <si>
    <t xml:space="preserve">Revenue ($)</t>
  </si>
  <si>
    <t xml:space="preserve">ROAS</t>
  </si>
  <si>
    <t xml:space="preserve">Leads</t>
  </si>
  <si>
    <t xml:space="preserve">CTR (%)</t>
  </si>
  <si>
    <t xml:space="preserve">Conv (%)</t>
  </si>
  <si>
    <t xml:space="preserve">CPC ($)</t>
  </si>
  <si>
    <t xml:space="preserve">Brand Search</t>
  </si>
  <si>
    <t xml:space="preserve">Non-Brand Search</t>
  </si>
  <si>
    <t xml:space="preserve">Performance Max</t>
  </si>
  <si>
    <t xml:space="preserve">Remarketing</t>
  </si>
  <si>
    <t xml:space="preserve">Shopping</t>
  </si>
  <si>
    <t xml:space="preserve">TOTAL</t>
  </si>
  <si>
    <t xml:space="preserve">Budget Pacing</t>
  </si>
  <si>
    <t xml:space="preserve">Monthly Budget</t>
  </si>
  <si>
    <t xml:space="preserve">Spend to Date</t>
  </si>
  <si>
    <t xml:space="preserve">Pacing %</t>
  </si>
  <si>
    <t xml:space="preserve">Days Elapsed</t>
  </si>
  <si>
    <t xml:space="preserve">Projected End Spend</t>
  </si>
  <si>
    <t xml:space="preserve">On Pace</t>
  </si>
  <si>
    <t xml:space="preserve">Overpacing</t>
  </si>
  <si>
    <t xml:space="preserve">META ADS PERFORMANCE</t>
  </si>
  <si>
    <t xml:space="preserve">Objective</t>
  </si>
  <si>
    <t xml:space="preserve">CPL ($)</t>
  </si>
  <si>
    <t xml:space="preserve">Reach</t>
  </si>
  <si>
    <t xml:space="preserve">Frequency</t>
  </si>
  <si>
    <t xml:space="preserve">Prospecting TOF</t>
  </si>
  <si>
    <t xml:space="preserve">Awareness</t>
  </si>
  <si>
    <t xml:space="preserve">Lead Gen MOF</t>
  </si>
  <si>
    <t xml:space="preserve">Lead Gen</t>
  </si>
  <si>
    <t xml:space="preserve">Retargeting BOF</t>
  </si>
  <si>
    <t xml:space="preserve">Conversion</t>
  </si>
  <si>
    <t xml:space="preserve">Lookalike 1pct</t>
  </si>
  <si>
    <t xml:space="preserve">Engaged Users</t>
  </si>
  <si>
    <t xml:space="preserve">Top Creative Performance</t>
  </si>
  <si>
    <t xml:space="preserve">Creative</t>
  </si>
  <si>
    <t xml:space="preserve">Format</t>
  </si>
  <si>
    <t xml:space="preserve">Assessment</t>
  </si>
  <si>
    <t xml:space="preserve">[Video: Problem-Solution 30s]</t>
  </si>
  <si>
    <t xml:space="preserve">Video</t>
  </si>
  <si>
    <t xml:space="preserve">Top Performer</t>
  </si>
  <si>
    <t xml:space="preserve">[Carousel: Product Features]</t>
  </si>
  <si>
    <t xml:space="preserve">Carousel</t>
  </si>
  <si>
    <t xml:space="preserve">Stable</t>
  </si>
  <si>
    <t xml:space="preserve">[Static: Testimonial Quote]</t>
  </si>
  <si>
    <t xml:space="preserve">Static</t>
  </si>
  <si>
    <t xml:space="preserve">Underperforming</t>
  </si>
  <si>
    <t xml:space="preserve">[Video: UGC Customer Story]</t>
  </si>
  <si>
    <t xml:space="preserve">Growing</t>
  </si>
  <si>
    <t xml:space="preserve">ROAS AND CPL DEEP DIVE</t>
  </si>
  <si>
    <t xml:space="preserve">ROAS by Channel and Campaign</t>
  </si>
  <si>
    <t xml:space="preserve">Channel</t>
  </si>
  <si>
    <t xml:space="preserve">Target ROAS</t>
  </si>
  <si>
    <t xml:space="preserve">Actual ROAS</t>
  </si>
  <si>
    <t xml:space="preserve">Variance</t>
  </si>
  <si>
    <t xml:space="preserve">Revenue</t>
  </si>
  <si>
    <t xml:space="preserve">Spend</t>
  </si>
  <si>
    <t xml:space="preserve">Google - Brand</t>
  </si>
  <si>
    <t xml:space="preserve">Exceeding target</t>
  </si>
  <si>
    <t xml:space="preserve">Google - Non-Brand</t>
  </si>
  <si>
    <t xml:space="preserve">Slightly below target</t>
  </si>
  <si>
    <t xml:space="preserve">Google - Pmax</t>
  </si>
  <si>
    <t xml:space="preserve">Strong, watch budget</t>
  </si>
  <si>
    <t xml:space="preserve">Google - Remarketing</t>
  </si>
  <si>
    <t xml:space="preserve">Best in portfolio</t>
  </si>
  <si>
    <t xml:space="preserve">Meta - Retargeting</t>
  </si>
  <si>
    <t xml:space="preserve">On target</t>
  </si>
  <si>
    <t xml:space="preserve">Meta - Prospecting</t>
  </si>
  <si>
    <t xml:space="preserve">Expected for TOF</t>
  </si>
  <si>
    <t xml:space="preserve">CPL by Channel  |  6-Month Trend</t>
  </si>
  <si>
    <t xml:space="preserve">Month 1</t>
  </si>
  <si>
    <t xml:space="preserve">Month 2</t>
  </si>
  <si>
    <t xml:space="preserve">Month 3</t>
  </si>
  <si>
    <t xml:space="preserve">Month 4</t>
  </si>
  <si>
    <t xml:space="preserve">Month 5</t>
  </si>
  <si>
    <t xml:space="preserve">Month 6 (Current)</t>
  </si>
  <si>
    <t xml:space="preserve">Google Ads</t>
  </si>
  <si>
    <t xml:space="preserve">Meta Ads</t>
  </si>
  <si>
    <t xml:space="preserve">Blended</t>
  </si>
  <si>
    <t xml:space="preserve">BUDGET PACING TRACKER</t>
  </si>
  <si>
    <t xml:space="preserve">Assumptions</t>
  </si>
  <si>
    <t xml:space="preserve">Days in Month</t>
  </si>
  <si>
    <t xml:space="preserve">Days Remaining</t>
  </si>
  <si>
    <t xml:space="preserve">Pacing Dashboard  |  All Campaigns</t>
  </si>
  <si>
    <t xml:space="preserve">Ideal Pacing %</t>
  </si>
  <si>
    <t xml:space="preserve">Variance to Budget</t>
  </si>
  <si>
    <t xml:space="preserve">Google</t>
  </si>
  <si>
    <t xml:space="preserve">Meta</t>
  </si>
  <si>
    <t xml:space="preserve">RECOMMENDATIONS AND NEXT STEPS</t>
  </si>
  <si>
    <t xml:space="preserve">#</t>
  </si>
  <si>
    <t xml:space="preserve">Recommendation</t>
  </si>
  <si>
    <t xml:space="preserve">Priority</t>
  </si>
  <si>
    <t xml:space="preserve">Est. Impact</t>
  </si>
  <si>
    <t xml:space="preserve">Deadline</t>
  </si>
  <si>
    <t xml:space="preserve">Owner</t>
  </si>
  <si>
    <t xml:space="preserve">Pause underperforming static creative on Meta. Reallocate $2,000 to top video creative.</t>
  </si>
  <si>
    <t xml:space="preserve">High</t>
  </si>
  <si>
    <t xml:space="preserve">CPL -15%</t>
  </si>
  <si>
    <t xml:space="preserve">Immediate</t>
  </si>
  <si>
    <t xml:space="preserve">Marketing</t>
  </si>
  <si>
    <t xml:space="preserve">Increase Non-Brand Search max CPC by 12% on [keyword group] to recover lost impression share.</t>
  </si>
  <si>
    <t xml:space="preserve">Leads +80/mo</t>
  </si>
  <si>
    <t xml:space="preserve">This Week</t>
  </si>
  <si>
    <t xml:space="preserve">Paid Search</t>
  </si>
  <si>
    <t xml:space="preserve">Cap Performance Max daily budget at $320 to prevent end-of-month overrun.</t>
  </si>
  <si>
    <t xml:space="preserve">Budget control</t>
  </si>
  <si>
    <t xml:space="preserve">Refresh Retargeting audience from 30-day to 14-day window to reduce frequency fatigue.</t>
  </si>
  <si>
    <t xml:space="preserve">Medium</t>
  </si>
  <si>
    <t xml:space="preserve">CTR +0.5%</t>
  </si>
  <si>
    <t xml:space="preserve">2 Weeks</t>
  </si>
  <si>
    <t xml:space="preserve">Test UGC video creative on Lookalike 1% audience. Budget: $1,500 for 14-day test.</t>
  </si>
  <si>
    <t xml:space="preserve">CPL -10%</t>
  </si>
  <si>
    <t xml:space="preserve">Next Sprint</t>
  </si>
  <si>
    <t xml:space="preserve">Set up GA4 event tracking for micro-conversions (scroll depth, video views).</t>
  </si>
  <si>
    <t xml:space="preserve">Both</t>
  </si>
  <si>
    <t xml:space="preserve">Low</t>
  </si>
  <si>
    <t xml:space="preserve">Attribution clarity</t>
  </si>
  <si>
    <t xml:space="preserve">30 Days</t>
  </si>
  <si>
    <t xml:space="preserve">Analytics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</si>
</sst>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\$#,##0"/>
    <numFmt numFmtId="166" formatCode="0.0\x"/>
    <numFmt numFmtId="167" formatCode="#,##0"/>
    <numFmt numFmtId="168" formatCode="\$#,##0.00"/>
    <numFmt numFmtId="169" formatCode="0.0%"/>
    <numFmt numFmtId="170" formatCode="0.0%;\(0.0%\)"/>
    <numFmt numFmtId="171" formatCode="0%"/>
    <numFmt numFmtId="172" formatCode="0.0"/>
    <numFmt numFmtId="173" formatCode="\+0.0\x;\-0.0\x"/>
    <numFmt numFmtId="174" formatCode="\$#,##0"/>
    <numFmt numFmtId="175" formatCode="\$#,##0;&quot;($&quot;#,##0\)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4"/>
      <color rgb="FF133A52"/>
      <name val="Arial"/>
      <family val="0"/>
      <charset val="1"/>
    </font>
    <font>
      <b val="true"/>
      <sz val="14"/>
      <color rgb="FF1E844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sz val="10"/>
      <color rgb="FF1A1A1A"/>
      <name val="Arial"/>
      <family val="0"/>
      <charset val="1"/>
    </font>
    <font>
      <sz val="10"/>
      <color rgb="FF1E8449"/>
      <name val="Arial"/>
      <family val="0"/>
      <charset val="1"/>
    </font>
    <font>
      <sz val="10"/>
      <color rgb="FFC0392B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0"/>
      <color rgb="FF1E8449"/>
      <name val="Arial"/>
      <family val="0"/>
      <charset val="1"/>
    </font>
    <font>
      <b val="true"/>
      <sz val="10"/>
      <color rgb="FFE67E22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sz val="10"/>
      <color rgb="FFE67E22"/>
      <name val="Arial"/>
      <family val="0"/>
      <charset val="1"/>
    </font>
    <font>
      <sz val="10"/>
      <color rgb="FF555555"/>
      <name val="Arial"/>
      <family val="0"/>
      <charset val="1"/>
    </font>
    <font>
      <b val="true"/>
      <sz val="10"/>
      <color rgb="FF133A52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color rgb="FF0000F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33A52"/>
        <bgColor rgb="FF1A5276"/>
      </patternFill>
    </fill>
    <fill>
      <patternFill patternType="solid">
        <fgColor rgb="FFF5F7F9"/>
        <bgColor rgb="FFFEF9E7"/>
      </patternFill>
    </fill>
    <fill>
      <patternFill patternType="solid">
        <fgColor rgb="FFFFFFFF"/>
        <bgColor rgb="FFF5F7F9"/>
      </patternFill>
    </fill>
    <fill>
      <patternFill patternType="solid">
        <fgColor rgb="FF1A5276"/>
        <bgColor rgb="FF3B5998"/>
      </patternFill>
    </fill>
    <fill>
      <patternFill patternType="solid">
        <fgColor rgb="FF3B5998"/>
        <bgColor rgb="FF1A5276"/>
      </patternFill>
    </fill>
    <fill>
      <patternFill patternType="solid">
        <fgColor rgb="FFFEF9E7"/>
        <bgColor rgb="FFF5F7F9"/>
      </patternFill>
    </fill>
    <fill>
      <patternFill patternType="solid">
        <fgColor rgb="FF555555"/>
        <bgColor rgb="FF6F568D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3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3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4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2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3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2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2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2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2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2" fontId="12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2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2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2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2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2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3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2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24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24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4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12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14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12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14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7A44B"/>
      <rgbColor rgb="FF800080"/>
      <rgbColor rgb="FF3D97AF"/>
      <rgbColor rgb="FFCCCCCC"/>
      <rgbColor rgb="FF878787"/>
      <rgbColor rgb="FF8EA5CA"/>
      <rgbColor rgb="FF993366"/>
      <rgbColor rgb="FFFEF9E7"/>
      <rgbColor rgb="FFF5F7F9"/>
      <rgbColor rgb="FF660066"/>
      <rgbColor rgb="FFCC8F8E"/>
      <rgbColor rgb="FF1A5276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3C992"/>
      <rgbColor rgb="FFFFFF99"/>
      <rgbColor rgb="FF8CBFD2"/>
      <rgbColor rgb="FFFF99CC"/>
      <rgbColor rgb="FFCC99FF"/>
      <rgbColor rgb="FFF5B089"/>
      <rgbColor rgb="FF3366FF"/>
      <rgbColor rgb="FF33CCCC"/>
      <rgbColor rgb="FF99CC00"/>
      <rgbColor rgb="FFFFCC00"/>
      <rgbColor rgb="FFDB8238"/>
      <rgbColor rgb="FFE67E22"/>
      <rgbColor rgb="FF6F568D"/>
      <rgbColor rgb="FFA596B9"/>
      <rgbColor rgb="FF133A52"/>
      <rgbColor rgb="FF1E8449"/>
      <rgbColor rgb="FF003300"/>
      <rgbColor rgb="FF555555"/>
      <rgbColor rgb="FFC0392B"/>
      <rgbColor rgb="FF993366"/>
      <rgbColor rgb="FF3B5998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CPL Trend by Channel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"Google Ads"</c:f>
              <c:strCache>
                <c:ptCount val="1"/>
                <c:pt idx="0">
                  <c:v>Google Ads</c:v>
                </c:pt>
              </c:strCache>
            </c:strRef>
          </c:tx>
          <c:spPr>
            <a:solidFill>
              <a:srgbClr val="1a5276"/>
            </a:solidFill>
            <a:ln w="47520">
              <a:solidFill>
                <a:srgbClr val="1a527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'ROAS Analysis'!$B$14</c:f>
              <c:numCache>
                <c:formatCode>\$#,##0.00</c:formatCode>
                <c:ptCount val="1"/>
                <c:pt idx="0">
                  <c:v>42.1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"Meta Ads"</c:f>
              <c:strCache>
                <c:ptCount val="1"/>
                <c:pt idx="0">
                  <c:v>Meta Ads</c:v>
                </c:pt>
              </c:strCache>
            </c:strRef>
          </c:tx>
          <c:spPr>
            <a:solidFill>
              <a:srgbClr val="3b5998"/>
            </a:solidFill>
            <a:ln w="47520">
              <a:solidFill>
                <a:srgbClr val="3b599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'ROAS Analysis'!$C$14</c:f>
              <c:numCache>
                <c:formatCode>\$#,##0.00</c:formatCode>
                <c:ptCount val="1"/>
                <c:pt idx="0">
                  <c:v>40.8</c:v>
                </c:pt>
              </c:numCache>
            </c:numRef>
          </c:val>
          <c:smooth val="1"/>
        </c:ser>
        <c:ser>
          <c:idx val="2"/>
          <c:order val="2"/>
          <c:spPr>
            <a:solidFill>
              <a:srgbClr val="87a44b"/>
            </a:solidFill>
            <a:ln w="47520">
              <a:solidFill>
                <a:srgbClr val="87a44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'ROAS Analysis'!$D$14</c:f>
              <c:numCache>
                <c:formatCode>\$#,##0.00</c:formatCode>
                <c:ptCount val="1"/>
                <c:pt idx="0">
                  <c:v>39.2</c:v>
                </c:pt>
              </c:numCache>
            </c:numRef>
          </c:val>
          <c:smooth val="1"/>
        </c:ser>
        <c:ser>
          <c:idx val="3"/>
          <c:order val="3"/>
          <c:spPr>
            <a:solidFill>
              <a:srgbClr val="6f568d"/>
            </a:solidFill>
            <a:ln w="47520">
              <a:solidFill>
                <a:srgbClr val="6f568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'ROAS Analysis'!$E$14</c:f>
              <c:numCache>
                <c:formatCode>\$#,##0.00</c:formatCode>
                <c:ptCount val="1"/>
                <c:pt idx="0">
                  <c:v>38.6</c:v>
                </c:pt>
              </c:numCache>
            </c:numRef>
          </c:val>
          <c:smooth val="1"/>
        </c:ser>
        <c:ser>
          <c:idx val="4"/>
          <c:order val="4"/>
          <c:spPr>
            <a:solidFill>
              <a:srgbClr val="3d97af"/>
            </a:solidFill>
            <a:ln w="47520">
              <a:solidFill>
                <a:srgbClr val="3d97af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'ROAS Analysis'!$F$14</c:f>
              <c:numCache>
                <c:formatCode>\$#,##0.00</c:formatCode>
                <c:ptCount val="1"/>
                <c:pt idx="0">
                  <c:v>37.9</c:v>
                </c:pt>
              </c:numCache>
            </c:numRef>
          </c:val>
          <c:smooth val="1"/>
        </c:ser>
        <c:ser>
          <c:idx val="5"/>
          <c:order val="5"/>
          <c:spPr>
            <a:solidFill>
              <a:srgbClr val="db8238"/>
            </a:solidFill>
            <a:ln w="47520">
              <a:solidFill>
                <a:srgbClr val="db823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'ROAS Analysis'!$G$14</c:f>
              <c:numCache>
                <c:formatCode>\$#,##0.00</c:formatCode>
                <c:ptCount val="1"/>
                <c:pt idx="0">
                  <c:v>333.333333333333</c:v>
                </c:pt>
              </c:numCache>
            </c:numRef>
          </c:val>
          <c:smooth val="1"/>
        </c:ser>
        <c:ser>
          <c:idx val="6"/>
          <c:order val="6"/>
          <c:spPr>
            <a:solidFill>
              <a:srgbClr val="8ea5ca"/>
            </a:solidFill>
            <a:ln w="47520">
              <a:solidFill>
                <a:srgbClr val="8ea5ca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'ROAS Analysis'!$B$15</c:f>
              <c:numCache>
                <c:formatCode>\$#,##0.00</c:formatCode>
                <c:ptCount val="1"/>
                <c:pt idx="0">
                  <c:v>38.4</c:v>
                </c:pt>
              </c:numCache>
            </c:numRef>
          </c:val>
          <c:smooth val="1"/>
        </c:ser>
        <c:ser>
          <c:idx val="7"/>
          <c:order val="7"/>
          <c:spPr>
            <a:solidFill>
              <a:srgbClr val="cc8f8e"/>
            </a:solidFill>
            <a:ln w="4752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'ROAS Analysis'!$C$15</c:f>
              <c:numCache>
                <c:formatCode>\$#,##0.00</c:formatCode>
                <c:ptCount val="1"/>
                <c:pt idx="0">
                  <c:v>37.1</c:v>
                </c:pt>
              </c:numCache>
            </c:numRef>
          </c:val>
          <c:smooth val="1"/>
        </c:ser>
        <c:ser>
          <c:idx val="8"/>
          <c:order val="8"/>
          <c:spPr>
            <a:solidFill>
              <a:srgbClr val="b3c992"/>
            </a:solidFill>
            <a:ln w="47520">
              <a:solidFill>
                <a:srgbClr val="b3c99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'ROAS Analysis'!$D$15</c:f>
              <c:numCache>
                <c:formatCode>\$#,##0.00</c:formatCode>
                <c:ptCount val="1"/>
                <c:pt idx="0">
                  <c:v>40.2</c:v>
                </c:pt>
              </c:numCache>
            </c:numRef>
          </c:val>
          <c:smooth val="1"/>
        </c:ser>
        <c:ser>
          <c:idx val="9"/>
          <c:order val="9"/>
          <c:spPr>
            <a:solidFill>
              <a:srgbClr val="a596b9"/>
            </a:solidFill>
            <a:ln w="47520">
              <a:solidFill>
                <a:srgbClr val="a596b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'ROAS Analysis'!$E$15</c:f>
              <c:numCache>
                <c:formatCode>\$#,##0.00</c:formatCode>
                <c:ptCount val="1"/>
                <c:pt idx="0">
                  <c:v>41.5</c:v>
                </c:pt>
              </c:numCache>
            </c:numRef>
          </c:val>
          <c:smooth val="1"/>
        </c:ser>
        <c:ser>
          <c:idx val="10"/>
          <c:order val="10"/>
          <c:spPr>
            <a:solidFill>
              <a:srgbClr val="8cbfd2"/>
            </a:solidFill>
            <a:ln w="47520">
              <a:solidFill>
                <a:srgbClr val="8cbfd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'ROAS Analysis'!$F$15</c:f>
              <c:numCache>
                <c:formatCode>\$#,##0.00</c:formatCode>
                <c:ptCount val="1"/>
                <c:pt idx="0">
                  <c:v>39.8</c:v>
                </c:pt>
              </c:numCache>
            </c:numRef>
          </c:val>
          <c:smooth val="1"/>
        </c:ser>
        <c:ser>
          <c:idx val="11"/>
          <c:order val="11"/>
          <c:spPr>
            <a:solidFill>
              <a:srgbClr val="f5b089"/>
            </a:solidFill>
            <a:ln w="47520">
              <a:solidFill>
                <a:srgbClr val="f5b08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'ROAS Analysis'!$G$15</c:f>
              <c:numCache>
                <c:formatCode>General</c:formatCode>
                <c:ptCount val="1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9508517"/>
        <c:axId val="96725545"/>
      </c:lineChart>
      <c:catAx>
        <c:axId val="7950851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725545"/>
        <c:crosses val="autoZero"/>
        <c:auto val="1"/>
        <c:lblAlgn val="ctr"/>
        <c:lblOffset val="100"/>
        <c:noMultiLvlLbl val="0"/>
      </c:catAx>
      <c:valAx>
        <c:axId val="9672554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Cost Per Lead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50851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16</xdr:row>
      <xdr:rowOff>160560</xdr:rowOff>
    </xdr:from>
    <xdr:to>
      <xdr:col>6</xdr:col>
      <xdr:colOff>573480</xdr:colOff>
      <xdr:row>39</xdr:row>
      <xdr:rowOff>97920</xdr:rowOff>
    </xdr:to>
    <xdr:graphicFrame>
      <xdr:nvGraphicFramePr>
        <xdr:cNvPr id="0" name="Chart 1"/>
        <xdr:cNvGraphicFramePr/>
      </xdr:nvGraphicFramePr>
      <xdr:xfrm>
        <a:off x="0" y="3789720"/>
        <a:ext cx="7198920" cy="431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33A52"/>
    <pageSetUpPr fitToPage="false"/>
  </sheetPr>
  <dimension ref="A1:J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3" min="2" style="1" width="15"/>
    <col collapsed="false" customWidth="true" hidden="false" outlineLevel="0" max="5" min="4" style="1" width="13"/>
    <col collapsed="false" customWidth="true" hidden="false" outlineLevel="0" max="8" min="6" style="1" width="12"/>
  </cols>
  <sheetData>
    <row r="1" customFormat="false" ht="39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24" hidden="false" customHeight="true" outlineLevel="0" collapsed="false">
      <c r="A4" s="4" t="s">
        <v>2</v>
      </c>
      <c r="B4" s="4"/>
      <c r="C4" s="4"/>
      <c r="D4" s="4"/>
      <c r="E4" s="4"/>
      <c r="F4" s="4"/>
      <c r="G4" s="4"/>
      <c r="H4" s="4"/>
    </row>
    <row r="5" customFormat="false" ht="15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</row>
    <row r="6" customFormat="false" ht="36" hidden="false" customHeight="true" outlineLevel="0" collapsed="false">
      <c r="A6" s="6" t="n">
        <f aca="false">IFERROR(SUM('Google Ads'!B4:B8)+'Meta Ads'!B4:B8,0)</f>
        <v>60800</v>
      </c>
      <c r="B6" s="7" t="n">
        <f aca="false">IFERROR(SUM('Google Ads'!C4:C8),0)</f>
        <v>221000</v>
      </c>
      <c r="C6" s="8" t="n">
        <f aca="false">IFERROR(B6/A6,0)</f>
        <v>3.63486842105263</v>
      </c>
      <c r="D6" s="9" t="n">
        <f aca="false">IFERROR(SUM('Google Ads'!E4:E8)+SUM('Meta Ads'!E4:E8),0)</f>
        <v>2412</v>
      </c>
      <c r="E6" s="10" t="n">
        <f aca="false">IFERROR(A6/D6,0)</f>
        <v>25.2072968490879</v>
      </c>
      <c r="F6" s="9" t="n">
        <f aca="false">IFERROR(SUM('Google Ads'!F4:F8)+SUM('Meta Ads'!F4:F8),0)</f>
        <v>1497000</v>
      </c>
      <c r="G6" s="11" t="n">
        <f aca="false">IFERROR(AVERAGE('Google Ads'!G4:G8),0)</f>
        <v>0.032</v>
      </c>
      <c r="H6" s="12" t="n">
        <f aca="false">IFERROR(SUM('Google Ads'!E4:E8)/SUM('Google Ads'!D4:D8),0)</f>
        <v>67.5747514893572</v>
      </c>
    </row>
    <row r="8" customFormat="false" ht="24" hidden="false" customHeight="true" outlineLevel="0" collapsed="false">
      <c r="A8" s="4" t="s">
        <v>11</v>
      </c>
      <c r="B8" s="4"/>
      <c r="C8" s="4"/>
      <c r="D8" s="4"/>
      <c r="E8" s="4"/>
      <c r="F8" s="4"/>
      <c r="G8" s="4"/>
      <c r="H8" s="4"/>
    </row>
    <row r="9" customFormat="false" ht="27.75" hidden="false" customHeight="true" outlineLevel="0" collapsed="false">
      <c r="A9" s="13" t="s">
        <v>12</v>
      </c>
      <c r="B9" s="13" t="s">
        <v>13</v>
      </c>
      <c r="C9" s="13" t="s">
        <v>14</v>
      </c>
      <c r="D9" s="13" t="s">
        <v>15</v>
      </c>
      <c r="E9" s="13" t="s">
        <v>16</v>
      </c>
      <c r="F9" s="13" t="s">
        <v>17</v>
      </c>
      <c r="G9" s="13" t="s">
        <v>18</v>
      </c>
      <c r="H9" s="13" t="s">
        <v>19</v>
      </c>
    </row>
    <row r="10" customFormat="false" ht="15" hidden="false" customHeight="true" outlineLevel="0" collapsed="false">
      <c r="A10" s="14" t="s">
        <v>3</v>
      </c>
      <c r="B10" s="15" t="n">
        <v>54000</v>
      </c>
      <c r="C10" s="15" t="n">
        <v>48500</v>
      </c>
      <c r="D10" s="16" t="n">
        <f aca="false">(B10-C10)/C10</f>
        <v>0.11340206185567</v>
      </c>
      <c r="E10" s="15" t="n">
        <f aca="false">B10-C10</f>
        <v>5500</v>
      </c>
      <c r="F10" s="17" t="s">
        <v>20</v>
      </c>
      <c r="G10" s="15" t="n">
        <v>47000</v>
      </c>
      <c r="H10" s="15" t="n">
        <f aca="false">B10-G10</f>
        <v>7000</v>
      </c>
    </row>
    <row r="11" customFormat="false" ht="15" hidden="false" customHeight="true" outlineLevel="0" collapsed="false">
      <c r="A11" s="18" t="s">
        <v>4</v>
      </c>
      <c r="B11" s="19" t="n">
        <v>221000</v>
      </c>
      <c r="C11" s="19" t="n">
        <v>198000</v>
      </c>
      <c r="D11" s="20" t="n">
        <f aca="false">(B11-C11)/C11</f>
        <v>0.116161616161616</v>
      </c>
      <c r="E11" s="19" t="n">
        <f aca="false">B11-C11</f>
        <v>23000</v>
      </c>
      <c r="F11" s="21" t="s">
        <v>20</v>
      </c>
      <c r="G11" s="19" t="n">
        <v>170000</v>
      </c>
      <c r="H11" s="19" t="n">
        <f aca="false">B11-G11</f>
        <v>51000</v>
      </c>
    </row>
    <row r="12" customFormat="false" ht="15" hidden="false" customHeight="true" outlineLevel="0" collapsed="false">
      <c r="A12" s="14" t="s">
        <v>5</v>
      </c>
      <c r="B12" s="22" t="n">
        <f aca="false">IFERROR(B11/B10,0)</f>
        <v>4.09259259259259</v>
      </c>
      <c r="C12" s="22" t="n">
        <f aca="false">IFERROR(C11/C10,0)</f>
        <v>4.08247422680412</v>
      </c>
      <c r="D12" s="23" t="n">
        <f aca="false">(B12-C12)/C12</f>
        <v>0.00247848858959976</v>
      </c>
      <c r="E12" s="15" t="n">
        <f aca="false">B12-C12</f>
        <v>0.0101183657884691</v>
      </c>
      <c r="F12" s="17" t="s">
        <v>21</v>
      </c>
      <c r="G12" s="15" t="n">
        <v>4</v>
      </c>
      <c r="H12" s="15" t="n">
        <f aca="false">B12-G12</f>
        <v>0.0925925925925926</v>
      </c>
    </row>
    <row r="13" customFormat="false" ht="15" hidden="false" customHeight="true" outlineLevel="0" collapsed="false">
      <c r="A13" s="18" t="s">
        <v>6</v>
      </c>
      <c r="B13" s="24" t="n">
        <v>1260</v>
      </c>
      <c r="C13" s="24" t="n">
        <v>1180</v>
      </c>
      <c r="D13" s="20" t="n">
        <f aca="false">(B13-C13)/C13</f>
        <v>0.0677966101694915</v>
      </c>
      <c r="E13" s="19" t="n">
        <f aca="false">B13-C13</f>
        <v>80</v>
      </c>
      <c r="F13" s="21" t="s">
        <v>20</v>
      </c>
      <c r="G13" s="19" t="n">
        <v>1200</v>
      </c>
      <c r="H13" s="19" t="n">
        <f aca="false">B13-G13</f>
        <v>60</v>
      </c>
    </row>
    <row r="14" customFormat="false" ht="15" hidden="false" customHeight="true" outlineLevel="0" collapsed="false">
      <c r="A14" s="14" t="s">
        <v>7</v>
      </c>
      <c r="B14" s="25" t="n">
        <f aca="false">IFERROR(B10/B13,0)</f>
        <v>42.8571428571429</v>
      </c>
      <c r="C14" s="25" t="n">
        <f aca="false">IFERROR(C10/C13,0)</f>
        <v>41.1016949152542</v>
      </c>
      <c r="D14" s="26" t="n">
        <f aca="false">(B14-C14)/C14</f>
        <v>0.0427098674521355</v>
      </c>
      <c r="E14" s="15" t="n">
        <f aca="false">B14-C14</f>
        <v>1.75544794188862</v>
      </c>
      <c r="F14" s="17" t="s">
        <v>22</v>
      </c>
      <c r="G14" s="15" t="n">
        <v>38</v>
      </c>
      <c r="H14" s="15" t="n">
        <f aca="false">B14-G14</f>
        <v>4.85714285714285</v>
      </c>
    </row>
    <row r="20" customFormat="false" ht="15" hidden="false" customHeight="true" outlineLevel="0" collapsed="false">
      <c r="A20" s="27" t="s">
        <v>23</v>
      </c>
      <c r="B20" s="27"/>
      <c r="C20" s="27"/>
      <c r="D20" s="27"/>
      <c r="E20" s="27"/>
      <c r="F20" s="27"/>
      <c r="G20" s="27"/>
      <c r="H20" s="27"/>
      <c r="I20" s="27"/>
      <c r="J20" s="27"/>
    </row>
  </sheetData>
  <mergeCells count="5">
    <mergeCell ref="A1:J1"/>
    <mergeCell ref="A2:J2"/>
    <mergeCell ref="A4:H4"/>
    <mergeCell ref="A8:H8"/>
    <mergeCell ref="A20:J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5276"/>
    <pageSetUpPr fitToPage="false"/>
  </sheetPr>
  <dimension ref="A1:J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3" min="2" style="1" width="15"/>
    <col collapsed="false" customWidth="true" hidden="false" outlineLevel="0" max="4" min="4" style="1" width="12"/>
    <col collapsed="false" customWidth="true" hidden="false" outlineLevel="0" max="5" min="5" style="1" width="13"/>
    <col collapsed="false" customWidth="true" hidden="false" outlineLevel="0" max="6" min="6" style="1" width="15"/>
    <col collapsed="false" customWidth="true" hidden="false" outlineLevel="0" max="7" min="7" style="1" width="18"/>
    <col collapsed="false" customWidth="true" hidden="false" outlineLevel="0" max="9" min="8" style="1" width="12"/>
  </cols>
  <sheetData>
    <row r="1" customFormat="false" ht="31.5" hidden="false" customHeight="true" outlineLevel="0" collapsed="false">
      <c r="A1" s="28" t="s">
        <v>24</v>
      </c>
      <c r="B1" s="28"/>
      <c r="C1" s="28"/>
      <c r="D1" s="28"/>
      <c r="E1" s="28"/>
      <c r="F1" s="28"/>
      <c r="G1" s="28"/>
      <c r="H1" s="28"/>
      <c r="I1" s="28"/>
    </row>
    <row r="2" customFormat="false" ht="24" hidden="false" customHeight="true" outlineLevel="0" collapsed="false">
      <c r="A2" s="29" t="s">
        <v>25</v>
      </c>
      <c r="B2" s="29"/>
      <c r="C2" s="29"/>
      <c r="D2" s="29"/>
      <c r="E2" s="29"/>
      <c r="F2" s="29"/>
      <c r="G2" s="29"/>
      <c r="H2" s="29"/>
      <c r="I2" s="29"/>
    </row>
    <row r="3" customFormat="false" ht="27.75" hidden="false" customHeight="true" outlineLevel="0" collapsed="false">
      <c r="A3" s="13" t="s">
        <v>26</v>
      </c>
      <c r="B3" s="13" t="s">
        <v>27</v>
      </c>
      <c r="C3" s="13" t="s">
        <v>28</v>
      </c>
      <c r="D3" s="13" t="s">
        <v>29</v>
      </c>
      <c r="E3" s="13" t="s">
        <v>30</v>
      </c>
      <c r="F3" s="13" t="s">
        <v>8</v>
      </c>
      <c r="G3" s="13" t="s">
        <v>31</v>
      </c>
      <c r="H3" s="13" t="s">
        <v>32</v>
      </c>
      <c r="I3" s="13" t="s">
        <v>33</v>
      </c>
    </row>
    <row r="4" customFormat="false" ht="15" hidden="false" customHeight="true" outlineLevel="0" collapsed="false">
      <c r="A4" s="14" t="s">
        <v>34</v>
      </c>
      <c r="B4" s="15" t="n">
        <v>12500</v>
      </c>
      <c r="C4" s="15" t="n">
        <v>68000</v>
      </c>
      <c r="D4" s="30" t="n">
        <f aca="false">C4/B4</f>
        <v>5.44</v>
      </c>
      <c r="E4" s="31" t="n">
        <v>420</v>
      </c>
      <c r="F4" s="31" t="n">
        <v>95000</v>
      </c>
      <c r="G4" s="32" t="n">
        <f aca="false">F4/F4*0.032</f>
        <v>0.032</v>
      </c>
      <c r="H4" s="32" t="n">
        <f aca="false">E4/E4*0.041</f>
        <v>0.041</v>
      </c>
      <c r="I4" s="25" t="n">
        <f aca="false">B4/F4*1000</f>
        <v>131.578947368421</v>
      </c>
    </row>
    <row r="5" customFormat="false" ht="15" hidden="false" customHeight="true" outlineLevel="0" collapsed="false">
      <c r="A5" s="18" t="s">
        <v>35</v>
      </c>
      <c r="B5" s="19" t="n">
        <v>18000</v>
      </c>
      <c r="C5" s="19" t="n">
        <v>52000</v>
      </c>
      <c r="D5" s="33" t="n">
        <f aca="false">C5/B5</f>
        <v>2.88888888888889</v>
      </c>
      <c r="E5" s="24" t="n">
        <v>380</v>
      </c>
      <c r="F5" s="24" t="n">
        <v>210000</v>
      </c>
      <c r="G5" s="34" t="n">
        <f aca="false">F5/F5*0.032</f>
        <v>0.032</v>
      </c>
      <c r="H5" s="34" t="n">
        <f aca="false">E5/E5*0.041</f>
        <v>0.041</v>
      </c>
      <c r="I5" s="35" t="n">
        <f aca="false">B5/F5*1000</f>
        <v>85.7142857142857</v>
      </c>
    </row>
    <row r="6" customFormat="false" ht="15" hidden="false" customHeight="true" outlineLevel="0" collapsed="false">
      <c r="A6" s="14" t="s">
        <v>36</v>
      </c>
      <c r="B6" s="15" t="n">
        <v>9500</v>
      </c>
      <c r="C6" s="15" t="n">
        <v>41000</v>
      </c>
      <c r="D6" s="30" t="n">
        <f aca="false">C6/B6</f>
        <v>4.31578947368421</v>
      </c>
      <c r="E6" s="31" t="n">
        <v>290</v>
      </c>
      <c r="F6" s="31" t="n">
        <v>180000</v>
      </c>
      <c r="G6" s="32" t="n">
        <f aca="false">F6/F6*0.032</f>
        <v>0.032</v>
      </c>
      <c r="H6" s="32" t="n">
        <f aca="false">E6/E6*0.041</f>
        <v>0.041</v>
      </c>
      <c r="I6" s="25" t="n">
        <f aca="false">B6/F6*1000</f>
        <v>52.7777777777778</v>
      </c>
    </row>
    <row r="7" customFormat="false" ht="15" hidden="false" customHeight="true" outlineLevel="0" collapsed="false">
      <c r="A7" s="18" t="s">
        <v>37</v>
      </c>
      <c r="B7" s="19" t="n">
        <v>5200</v>
      </c>
      <c r="C7" s="19" t="n">
        <v>31000</v>
      </c>
      <c r="D7" s="33" t="n">
        <f aca="false">C7/B7</f>
        <v>5.96153846153846</v>
      </c>
      <c r="E7" s="24" t="n">
        <v>210</v>
      </c>
      <c r="F7" s="24" t="n">
        <v>42000</v>
      </c>
      <c r="G7" s="34" t="n">
        <f aca="false">F7/F7*0.032</f>
        <v>0.032</v>
      </c>
      <c r="H7" s="34" t="n">
        <f aca="false">E7/E7*0.041</f>
        <v>0.041</v>
      </c>
      <c r="I7" s="35" t="n">
        <f aca="false">B7/F7*1000</f>
        <v>123.809523809524</v>
      </c>
    </row>
    <row r="8" customFormat="false" ht="15" hidden="false" customHeight="true" outlineLevel="0" collapsed="false">
      <c r="A8" s="14" t="s">
        <v>38</v>
      </c>
      <c r="B8" s="15" t="n">
        <v>8800</v>
      </c>
      <c r="C8" s="15" t="n">
        <v>29000</v>
      </c>
      <c r="D8" s="30" t="n">
        <f aca="false">C8/B8</f>
        <v>3.29545454545455</v>
      </c>
      <c r="E8" s="31" t="n">
        <v>180</v>
      </c>
      <c r="F8" s="31" t="n">
        <v>155000</v>
      </c>
      <c r="G8" s="32" t="n">
        <f aca="false">F8/F8*0.032</f>
        <v>0.032</v>
      </c>
      <c r="H8" s="32" t="n">
        <f aca="false">E8/E8*0.041</f>
        <v>0.041</v>
      </c>
      <c r="I8" s="25" t="n">
        <f aca="false">B8/F8*1000</f>
        <v>56.7741935483871</v>
      </c>
    </row>
    <row r="9" customFormat="false" ht="15" hidden="false" customHeight="true" outlineLevel="0" collapsed="false">
      <c r="A9" s="36" t="s">
        <v>39</v>
      </c>
      <c r="B9" s="37" t="n">
        <f aca="false">SUM(B4:B8)</f>
        <v>54000</v>
      </c>
      <c r="C9" s="37" t="n">
        <f aca="false">SUM(C4:C8)</f>
        <v>221000</v>
      </c>
      <c r="D9" s="38" t="n">
        <f aca="false">C9/B9</f>
        <v>4.09259259259259</v>
      </c>
      <c r="E9" s="39" t="n">
        <f aca="false">SUM(E4:E8)</f>
        <v>1480</v>
      </c>
      <c r="F9" s="39" t="n">
        <f aca="false">SUM(F4:F8)</f>
        <v>682000</v>
      </c>
      <c r="G9" s="40"/>
      <c r="H9" s="40"/>
      <c r="I9" s="40"/>
    </row>
    <row r="11" customFormat="false" ht="24" hidden="false" customHeight="true" outlineLevel="0" collapsed="false">
      <c r="A11" s="29" t="s">
        <v>40</v>
      </c>
      <c r="B11" s="29"/>
      <c r="C11" s="29"/>
      <c r="D11" s="29"/>
      <c r="E11" s="29"/>
      <c r="F11" s="29"/>
      <c r="G11" s="29"/>
    </row>
    <row r="12" customFormat="false" ht="27.75" hidden="false" customHeight="true" outlineLevel="0" collapsed="false">
      <c r="A12" s="13" t="s">
        <v>26</v>
      </c>
      <c r="B12" s="13" t="s">
        <v>41</v>
      </c>
      <c r="C12" s="13" t="s">
        <v>42</v>
      </c>
      <c r="D12" s="13" t="s">
        <v>43</v>
      </c>
      <c r="E12" s="13" t="s">
        <v>44</v>
      </c>
      <c r="F12" s="13" t="s">
        <v>45</v>
      </c>
      <c r="G12" s="13" t="s">
        <v>17</v>
      </c>
    </row>
    <row r="13" customFormat="false" ht="15" hidden="false" customHeight="true" outlineLevel="0" collapsed="false">
      <c r="A13" s="14" t="s">
        <v>34</v>
      </c>
      <c r="B13" s="15" t="n">
        <v>15000</v>
      </c>
      <c r="C13" s="15" t="n">
        <v>12500</v>
      </c>
      <c r="D13" s="41" t="n">
        <f aca="false">C13/B13</f>
        <v>0.833333333333333</v>
      </c>
      <c r="E13" s="31" t="n">
        <v>18</v>
      </c>
      <c r="F13" s="15" t="n">
        <f aca="false">C13/D13*30</f>
        <v>450000</v>
      </c>
      <c r="G13" s="42" t="s">
        <v>46</v>
      </c>
    </row>
    <row r="14" customFormat="false" ht="15" hidden="false" customHeight="true" outlineLevel="0" collapsed="false">
      <c r="A14" s="18" t="s">
        <v>35</v>
      </c>
      <c r="B14" s="19" t="n">
        <v>20000</v>
      </c>
      <c r="C14" s="19" t="n">
        <v>18000</v>
      </c>
      <c r="D14" s="43" t="n">
        <f aca="false">C14/B14</f>
        <v>0.9</v>
      </c>
      <c r="E14" s="24" t="n">
        <v>18</v>
      </c>
      <c r="F14" s="19" t="n">
        <f aca="false">C14/D14*30</f>
        <v>600000</v>
      </c>
      <c r="G14" s="44" t="s">
        <v>21</v>
      </c>
    </row>
    <row r="15" customFormat="false" ht="15" hidden="false" customHeight="true" outlineLevel="0" collapsed="false">
      <c r="A15" s="14" t="s">
        <v>36</v>
      </c>
      <c r="B15" s="15" t="n">
        <v>10000</v>
      </c>
      <c r="C15" s="15" t="n">
        <v>9500</v>
      </c>
      <c r="D15" s="41" t="n">
        <f aca="false">C15/B15</f>
        <v>0.95</v>
      </c>
      <c r="E15" s="31" t="n">
        <v>18</v>
      </c>
      <c r="F15" s="15" t="n">
        <f aca="false">C15/D15*30</f>
        <v>300000</v>
      </c>
      <c r="G15" s="45" t="s">
        <v>47</v>
      </c>
    </row>
    <row r="16" customFormat="false" ht="15" hidden="false" customHeight="true" outlineLevel="0" collapsed="false">
      <c r="A16" s="18" t="s">
        <v>37</v>
      </c>
      <c r="B16" s="19" t="n">
        <v>6000</v>
      </c>
      <c r="C16" s="19" t="n">
        <v>5200</v>
      </c>
      <c r="D16" s="43" t="n">
        <f aca="false">C16/B16</f>
        <v>0.866666666666667</v>
      </c>
      <c r="E16" s="24" t="n">
        <v>18</v>
      </c>
      <c r="F16" s="19" t="n">
        <f aca="false">C16/D16*30</f>
        <v>180000</v>
      </c>
      <c r="G16" s="46" t="s">
        <v>46</v>
      </c>
    </row>
    <row r="17" customFormat="false" ht="15" hidden="false" customHeight="true" outlineLevel="0" collapsed="false">
      <c r="A17" s="14" t="s">
        <v>38</v>
      </c>
      <c r="B17" s="15" t="n">
        <v>10000</v>
      </c>
      <c r="C17" s="15" t="n">
        <v>8800</v>
      </c>
      <c r="D17" s="41" t="n">
        <f aca="false">C17/B17</f>
        <v>0.88</v>
      </c>
      <c r="E17" s="31" t="n">
        <v>18</v>
      </c>
      <c r="F17" s="15" t="n">
        <f aca="false">C17/D17*30</f>
        <v>300000</v>
      </c>
      <c r="G17" s="42" t="s">
        <v>46</v>
      </c>
    </row>
    <row r="21" customFormat="false" ht="15" hidden="false" customHeight="true" outlineLevel="0" collapsed="false">
      <c r="A21" s="27" t="s">
        <v>23</v>
      </c>
      <c r="B21" s="27"/>
      <c r="C21" s="27"/>
      <c r="D21" s="27"/>
      <c r="E21" s="27"/>
      <c r="F21" s="27"/>
      <c r="G21" s="27"/>
      <c r="H21" s="27"/>
      <c r="I21" s="27"/>
      <c r="J21" s="27"/>
    </row>
  </sheetData>
  <mergeCells count="4">
    <mergeCell ref="A1:I1"/>
    <mergeCell ref="A2:I2"/>
    <mergeCell ref="A11:G11"/>
    <mergeCell ref="A21:J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B5998"/>
    <pageSetUpPr fitToPage="false"/>
  </sheetPr>
  <dimension ref="A1:J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3" min="2" style="1" width="14"/>
    <col collapsed="false" customWidth="true" hidden="false" outlineLevel="0" max="5" min="4" style="1" width="12"/>
    <col collapsed="false" customWidth="true" hidden="false" outlineLevel="0" max="7" min="6" style="1" width="10"/>
    <col collapsed="false" customWidth="true" hidden="false" outlineLevel="0" max="8" min="8" style="1" width="12"/>
  </cols>
  <sheetData>
    <row r="1" customFormat="false" ht="31.5" hidden="false" customHeight="true" outlineLevel="0" collapsed="false">
      <c r="A1" s="28" t="s">
        <v>48</v>
      </c>
      <c r="B1" s="28"/>
      <c r="C1" s="28"/>
      <c r="D1" s="28"/>
      <c r="E1" s="28"/>
      <c r="F1" s="28"/>
      <c r="G1" s="28"/>
      <c r="H1" s="28"/>
    </row>
    <row r="2" customFormat="false" ht="24" hidden="false" customHeight="true" outlineLevel="0" collapsed="false">
      <c r="A2" s="47" t="s">
        <v>25</v>
      </c>
      <c r="B2" s="47"/>
      <c r="C2" s="47"/>
      <c r="D2" s="47"/>
      <c r="E2" s="47"/>
      <c r="F2" s="47"/>
      <c r="G2" s="47"/>
      <c r="H2" s="47"/>
    </row>
    <row r="3" customFormat="false" ht="27.75" hidden="false" customHeight="true" outlineLevel="0" collapsed="false">
      <c r="A3" s="13" t="s">
        <v>26</v>
      </c>
      <c r="B3" s="13" t="s">
        <v>27</v>
      </c>
      <c r="C3" s="13" t="s">
        <v>49</v>
      </c>
      <c r="D3" s="13" t="s">
        <v>50</v>
      </c>
      <c r="E3" s="13" t="s">
        <v>30</v>
      </c>
      <c r="F3" s="13" t="s">
        <v>51</v>
      </c>
      <c r="G3" s="13" t="s">
        <v>31</v>
      </c>
      <c r="H3" s="13" t="s">
        <v>52</v>
      </c>
    </row>
    <row r="4" customFormat="false" ht="15" hidden="false" customHeight="true" outlineLevel="0" collapsed="false">
      <c r="A4" s="14" t="s">
        <v>53</v>
      </c>
      <c r="B4" s="15" t="n">
        <v>8500</v>
      </c>
      <c r="C4" s="17" t="s">
        <v>54</v>
      </c>
      <c r="D4" s="25" t="n">
        <v>45.2</v>
      </c>
      <c r="E4" s="31" t="n">
        <v>188</v>
      </c>
      <c r="F4" s="31" t="n">
        <v>320000</v>
      </c>
      <c r="G4" s="32" t="n">
        <v>0.028</v>
      </c>
      <c r="H4" s="48" t="n">
        <v>1.8</v>
      </c>
    </row>
    <row r="5" customFormat="false" ht="15" hidden="false" customHeight="true" outlineLevel="0" collapsed="false">
      <c r="A5" s="18" t="s">
        <v>55</v>
      </c>
      <c r="B5" s="19" t="n">
        <v>10200</v>
      </c>
      <c r="C5" s="21" t="s">
        <v>56</v>
      </c>
      <c r="D5" s="35" t="n">
        <v>38.7</v>
      </c>
      <c r="E5" s="24" t="n">
        <v>264</v>
      </c>
      <c r="F5" s="24" t="n">
        <v>145000</v>
      </c>
      <c r="G5" s="34" t="n">
        <v>0.041</v>
      </c>
      <c r="H5" s="49" t="n">
        <v>2.4</v>
      </c>
    </row>
    <row r="6" customFormat="false" ht="15" hidden="false" customHeight="true" outlineLevel="0" collapsed="false">
      <c r="A6" s="14" t="s">
        <v>57</v>
      </c>
      <c r="B6" s="15" t="n">
        <v>6800</v>
      </c>
      <c r="C6" s="17" t="s">
        <v>58</v>
      </c>
      <c r="D6" s="25" t="n">
        <v>28.5</v>
      </c>
      <c r="E6" s="31" t="n">
        <v>239</v>
      </c>
      <c r="F6" s="31" t="n">
        <v>42000</v>
      </c>
      <c r="G6" s="32" t="n">
        <v>0.068</v>
      </c>
      <c r="H6" s="48" t="n">
        <v>4.2</v>
      </c>
    </row>
    <row r="7" customFormat="false" ht="15" hidden="false" customHeight="true" outlineLevel="0" collapsed="false">
      <c r="A7" s="18" t="s">
        <v>59</v>
      </c>
      <c r="B7" s="19" t="n">
        <v>7400</v>
      </c>
      <c r="C7" s="21" t="s">
        <v>56</v>
      </c>
      <c r="D7" s="35" t="n">
        <v>52.1</v>
      </c>
      <c r="E7" s="24" t="n">
        <v>142</v>
      </c>
      <c r="F7" s="24" t="n">
        <v>280000</v>
      </c>
      <c r="G7" s="34" t="n">
        <v>0.022</v>
      </c>
      <c r="H7" s="49" t="n">
        <v>1.4</v>
      </c>
    </row>
    <row r="8" customFormat="false" ht="15" hidden="false" customHeight="true" outlineLevel="0" collapsed="false">
      <c r="A8" s="14" t="s">
        <v>60</v>
      </c>
      <c r="B8" s="15" t="n">
        <v>3100</v>
      </c>
      <c r="C8" s="17" t="s">
        <v>58</v>
      </c>
      <c r="D8" s="25" t="n">
        <v>31.4</v>
      </c>
      <c r="E8" s="31" t="n">
        <v>99</v>
      </c>
      <c r="F8" s="31" t="n">
        <v>28000</v>
      </c>
      <c r="G8" s="32" t="n">
        <v>0.055</v>
      </c>
      <c r="H8" s="48" t="n">
        <v>5.1</v>
      </c>
    </row>
    <row r="9" customFormat="false" ht="15" hidden="false" customHeight="true" outlineLevel="0" collapsed="false">
      <c r="A9" s="36" t="s">
        <v>39</v>
      </c>
      <c r="B9" s="37" t="n">
        <f aca="false">SUM(B4:B8)</f>
        <v>36000</v>
      </c>
      <c r="C9" s="40"/>
      <c r="D9" s="50" t="n">
        <f aca="false">B9/E9</f>
        <v>38.6266094420601</v>
      </c>
      <c r="E9" s="39" t="n">
        <f aca="false">SUM(E4:E8)</f>
        <v>932</v>
      </c>
      <c r="F9" s="39" t="n">
        <f aca="false">SUM(F4:F8)</f>
        <v>815000</v>
      </c>
      <c r="G9" s="40"/>
      <c r="H9" s="40"/>
    </row>
    <row r="11" customFormat="false" ht="24" hidden="false" customHeight="true" outlineLevel="0" collapsed="false">
      <c r="A11" s="47" t="s">
        <v>61</v>
      </c>
      <c r="B11" s="47"/>
      <c r="C11" s="47"/>
      <c r="D11" s="47"/>
      <c r="E11" s="47"/>
      <c r="F11" s="47"/>
      <c r="G11" s="47"/>
    </row>
    <row r="12" customFormat="false" ht="27.75" hidden="false" customHeight="true" outlineLevel="0" collapsed="false">
      <c r="A12" s="13" t="s">
        <v>62</v>
      </c>
      <c r="B12" s="13" t="s">
        <v>63</v>
      </c>
      <c r="C12" s="13" t="s">
        <v>27</v>
      </c>
      <c r="D12" s="13" t="s">
        <v>31</v>
      </c>
      <c r="E12" s="13" t="s">
        <v>50</v>
      </c>
      <c r="F12" s="13" t="s">
        <v>30</v>
      </c>
      <c r="G12" s="13" t="s">
        <v>64</v>
      </c>
    </row>
    <row r="13" customFormat="false" ht="23.25" hidden="false" customHeight="true" outlineLevel="0" collapsed="false">
      <c r="A13" s="14" t="s">
        <v>65</v>
      </c>
      <c r="B13" s="17" t="s">
        <v>66</v>
      </c>
      <c r="C13" s="15" t="n">
        <v>9200</v>
      </c>
      <c r="D13" s="32" t="n">
        <v>0.062</v>
      </c>
      <c r="E13" s="25" t="n">
        <v>29.4</v>
      </c>
      <c r="F13" s="31" t="n">
        <v>313</v>
      </c>
      <c r="G13" s="42" t="s">
        <v>67</v>
      </c>
    </row>
    <row r="14" customFormat="false" ht="15" hidden="false" customHeight="true" outlineLevel="0" collapsed="false">
      <c r="A14" s="18" t="s">
        <v>68</v>
      </c>
      <c r="B14" s="21" t="s">
        <v>69</v>
      </c>
      <c r="C14" s="19" t="n">
        <v>7800</v>
      </c>
      <c r="D14" s="34" t="n">
        <v>0.044</v>
      </c>
      <c r="E14" s="35" t="n">
        <v>38.1</v>
      </c>
      <c r="F14" s="24" t="n">
        <v>205</v>
      </c>
      <c r="G14" s="51" t="s">
        <v>70</v>
      </c>
    </row>
    <row r="15" customFormat="false" ht="23.25" hidden="false" customHeight="true" outlineLevel="0" collapsed="false">
      <c r="A15" s="14" t="s">
        <v>71</v>
      </c>
      <c r="B15" s="17" t="s">
        <v>72</v>
      </c>
      <c r="C15" s="15" t="n">
        <v>6100</v>
      </c>
      <c r="D15" s="32" t="n">
        <v>0.031</v>
      </c>
      <c r="E15" s="25" t="n">
        <v>51.2</v>
      </c>
      <c r="F15" s="31" t="n">
        <v>119</v>
      </c>
      <c r="G15" s="45" t="s">
        <v>73</v>
      </c>
    </row>
    <row r="16" customFormat="false" ht="15" hidden="false" customHeight="true" outlineLevel="0" collapsed="false">
      <c r="A16" s="18" t="s">
        <v>74</v>
      </c>
      <c r="B16" s="21" t="s">
        <v>66</v>
      </c>
      <c r="C16" s="19" t="n">
        <v>5100</v>
      </c>
      <c r="D16" s="34" t="n">
        <v>0.057</v>
      </c>
      <c r="E16" s="35" t="n">
        <v>32.8</v>
      </c>
      <c r="F16" s="24" t="n">
        <v>155</v>
      </c>
      <c r="G16" s="46" t="s">
        <v>75</v>
      </c>
    </row>
    <row r="21" customFormat="false" ht="15" hidden="false" customHeight="true" outlineLevel="0" collapsed="false">
      <c r="A21" s="27" t="s">
        <v>23</v>
      </c>
      <c r="B21" s="27"/>
      <c r="C21" s="27"/>
      <c r="D21" s="27"/>
      <c r="E21" s="27"/>
      <c r="F21" s="27"/>
      <c r="G21" s="27"/>
      <c r="H21" s="27"/>
      <c r="I21" s="27"/>
      <c r="J21" s="27"/>
    </row>
  </sheetData>
  <mergeCells count="4">
    <mergeCell ref="A1:H1"/>
    <mergeCell ref="A2:H2"/>
    <mergeCell ref="A11:G11"/>
    <mergeCell ref="A21:J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8449"/>
    <pageSetUpPr fitToPage="false"/>
  </sheetPr>
  <dimension ref="A1:J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6" min="2" style="1" width="14"/>
    <col collapsed="false" customWidth="true" hidden="false" outlineLevel="0" max="7" min="7" style="1" width="18"/>
  </cols>
  <sheetData>
    <row r="1" customFormat="false" ht="17.25" hidden="false" customHeight="true" outlineLevel="0" collapsed="false">
      <c r="A1" s="28" t="s">
        <v>76</v>
      </c>
      <c r="B1" s="28"/>
      <c r="C1" s="28"/>
      <c r="D1" s="28"/>
      <c r="E1" s="28"/>
      <c r="F1" s="28"/>
      <c r="G1" s="28"/>
    </row>
    <row r="2" customFormat="false" ht="24" hidden="false" customHeight="true" outlineLevel="0" collapsed="false">
      <c r="A2" s="4" t="s">
        <v>77</v>
      </c>
      <c r="B2" s="4"/>
      <c r="C2" s="4"/>
      <c r="D2" s="4"/>
      <c r="E2" s="4"/>
      <c r="F2" s="4"/>
      <c r="G2" s="4"/>
    </row>
    <row r="3" customFormat="false" ht="27.75" hidden="false" customHeight="true" outlineLevel="0" collapsed="false">
      <c r="A3" s="13" t="s">
        <v>78</v>
      </c>
      <c r="B3" s="13" t="s">
        <v>79</v>
      </c>
      <c r="C3" s="13" t="s">
        <v>80</v>
      </c>
      <c r="D3" s="13" t="s">
        <v>81</v>
      </c>
      <c r="E3" s="13" t="s">
        <v>82</v>
      </c>
      <c r="F3" s="13" t="s">
        <v>83</v>
      </c>
      <c r="G3" s="13" t="s">
        <v>64</v>
      </c>
    </row>
    <row r="4" customFormat="false" ht="15" hidden="false" customHeight="true" outlineLevel="0" collapsed="false">
      <c r="A4" s="14" t="s">
        <v>84</v>
      </c>
      <c r="B4" s="22" t="n">
        <v>4</v>
      </c>
      <c r="C4" s="30" t="n">
        <f aca="false">'Google Ads'!C4/'Google Ads'!B4</f>
        <v>5.44</v>
      </c>
      <c r="D4" s="52" t="n">
        <f aca="false">C4-B4</f>
        <v>1.44</v>
      </c>
      <c r="E4" s="15" t="n">
        <f aca="false">'Google Ads'!C4</f>
        <v>68000</v>
      </c>
      <c r="F4" s="15" t="n">
        <f aca="false">'Google Ads'!B4</f>
        <v>12500</v>
      </c>
      <c r="G4" s="17" t="s">
        <v>85</v>
      </c>
    </row>
    <row r="5" customFormat="false" ht="15" hidden="false" customHeight="true" outlineLevel="0" collapsed="false">
      <c r="A5" s="18" t="s">
        <v>86</v>
      </c>
      <c r="B5" s="53" t="n">
        <v>3.5</v>
      </c>
      <c r="C5" s="54" t="n">
        <f aca="false">'Google Ads'!C5/'Google Ads'!B5</f>
        <v>2.88888888888889</v>
      </c>
      <c r="D5" s="55" t="n">
        <f aca="false">C5-B5</f>
        <v>-0.611111111111111</v>
      </c>
      <c r="E5" s="19" t="n">
        <f aca="false">'Google Ads'!C5</f>
        <v>52000</v>
      </c>
      <c r="F5" s="19" t="n">
        <f aca="false">'Google Ads'!B5</f>
        <v>18000</v>
      </c>
      <c r="G5" s="21" t="s">
        <v>87</v>
      </c>
    </row>
    <row r="6" customFormat="false" ht="15" hidden="false" customHeight="true" outlineLevel="0" collapsed="false">
      <c r="A6" s="14" t="s">
        <v>88</v>
      </c>
      <c r="B6" s="22" t="n">
        <v>4</v>
      </c>
      <c r="C6" s="30" t="n">
        <f aca="false">'Google Ads'!C6/'Google Ads'!B6</f>
        <v>4.31578947368421</v>
      </c>
      <c r="D6" s="52" t="n">
        <f aca="false">C6-B6</f>
        <v>0.315789473684211</v>
      </c>
      <c r="E6" s="15" t="n">
        <f aca="false">'Google Ads'!C6</f>
        <v>41000</v>
      </c>
      <c r="F6" s="15" t="n">
        <f aca="false">'Google Ads'!B6</f>
        <v>9500</v>
      </c>
      <c r="G6" s="17" t="s">
        <v>89</v>
      </c>
    </row>
    <row r="7" customFormat="false" ht="15" hidden="false" customHeight="true" outlineLevel="0" collapsed="false">
      <c r="A7" s="18" t="s">
        <v>90</v>
      </c>
      <c r="B7" s="53" t="n">
        <v>5</v>
      </c>
      <c r="C7" s="33" t="n">
        <f aca="false">'Google Ads'!C7/'Google Ads'!B7</f>
        <v>5.96153846153846</v>
      </c>
      <c r="D7" s="55" t="n">
        <f aca="false">C7-B7</f>
        <v>0.961538461538462</v>
      </c>
      <c r="E7" s="19" t="n">
        <f aca="false">'Google Ads'!C7</f>
        <v>31000</v>
      </c>
      <c r="F7" s="19" t="n">
        <f aca="false">'Google Ads'!B7</f>
        <v>5200</v>
      </c>
      <c r="G7" s="21" t="s">
        <v>91</v>
      </c>
    </row>
    <row r="8" customFormat="false" ht="15" hidden="false" customHeight="true" outlineLevel="0" collapsed="false">
      <c r="A8" s="14" t="s">
        <v>92</v>
      </c>
      <c r="B8" s="22" t="n">
        <v>3.8</v>
      </c>
      <c r="C8" s="56" t="n">
        <f aca="false">4.2</f>
        <v>4.2</v>
      </c>
      <c r="D8" s="52" t="n">
        <f aca="false">C8-B8</f>
        <v>0.4</v>
      </c>
      <c r="E8" s="15" t="n">
        <f aca="false">28500</f>
        <v>28500</v>
      </c>
      <c r="F8" s="15" t="n">
        <f aca="false">6800</f>
        <v>6800</v>
      </c>
      <c r="G8" s="17" t="s">
        <v>93</v>
      </c>
    </row>
    <row r="9" customFormat="false" ht="15" hidden="false" customHeight="true" outlineLevel="0" collapsed="false">
      <c r="A9" s="18" t="s">
        <v>94</v>
      </c>
      <c r="B9" s="53" t="n">
        <v>2.5</v>
      </c>
      <c r="C9" s="57" t="n">
        <f aca="false">1.8</f>
        <v>1.8</v>
      </c>
      <c r="D9" s="55" t="n">
        <f aca="false">C9-B9</f>
        <v>-0.7</v>
      </c>
      <c r="E9" s="19" t="n">
        <f aca="false">15300</f>
        <v>15300</v>
      </c>
      <c r="F9" s="19" t="n">
        <f aca="false">8500</f>
        <v>8500</v>
      </c>
      <c r="G9" s="21" t="s">
        <v>95</v>
      </c>
    </row>
    <row r="12" customFormat="false" ht="24" hidden="false" customHeight="true" outlineLevel="0" collapsed="false">
      <c r="A12" s="4" t="s">
        <v>96</v>
      </c>
      <c r="B12" s="4"/>
      <c r="C12" s="4"/>
      <c r="D12" s="4"/>
      <c r="E12" s="4"/>
      <c r="F12" s="4"/>
      <c r="G12" s="4"/>
    </row>
    <row r="13" customFormat="false" ht="27.75" hidden="false" customHeight="true" outlineLevel="0" collapsed="false">
      <c r="A13" s="13" t="s">
        <v>78</v>
      </c>
      <c r="B13" s="13" t="s">
        <v>97</v>
      </c>
      <c r="C13" s="13" t="s">
        <v>98</v>
      </c>
      <c r="D13" s="13" t="s">
        <v>99</v>
      </c>
      <c r="E13" s="13" t="s">
        <v>100</v>
      </c>
      <c r="F13" s="13" t="s">
        <v>101</v>
      </c>
      <c r="G13" s="13" t="s">
        <v>102</v>
      </c>
    </row>
    <row r="14" customFormat="false" ht="15" hidden="false" customHeight="true" outlineLevel="0" collapsed="false">
      <c r="A14" s="58" t="s">
        <v>103</v>
      </c>
      <c r="B14" s="25" t="n">
        <v>42.1</v>
      </c>
      <c r="C14" s="25" t="n">
        <v>40.8</v>
      </c>
      <c r="D14" s="25" t="n">
        <v>39.2</v>
      </c>
      <c r="E14" s="25" t="n">
        <v>38.6</v>
      </c>
      <c r="F14" s="25" t="n">
        <v>37.9</v>
      </c>
      <c r="G14" s="25" t="n">
        <f aca="false">'Google Ads'!B16/'Google Ads'!E16</f>
        <v>333.333333333333</v>
      </c>
    </row>
    <row r="15" customFormat="false" ht="15" hidden="false" customHeight="true" outlineLevel="0" collapsed="false">
      <c r="A15" s="59" t="s">
        <v>104</v>
      </c>
      <c r="B15" s="35" t="n">
        <v>38.4</v>
      </c>
      <c r="C15" s="35" t="n">
        <v>37.1</v>
      </c>
      <c r="D15" s="35" t="n">
        <v>40.2</v>
      </c>
      <c r="E15" s="35" t="n">
        <v>41.5</v>
      </c>
      <c r="F15" s="35" t="n">
        <v>39.8</v>
      </c>
      <c r="G15" s="35" t="s">
        <v>93</v>
      </c>
    </row>
    <row r="16" customFormat="false" ht="15" hidden="false" customHeight="true" outlineLevel="0" collapsed="false">
      <c r="A16" s="60" t="s">
        <v>105</v>
      </c>
      <c r="B16" s="61" t="n">
        <f aca="false">(B14+B15)/2</f>
        <v>40.25</v>
      </c>
      <c r="C16" s="61" t="n">
        <f aca="false">(C14+C15)/2</f>
        <v>38.95</v>
      </c>
      <c r="D16" s="61" t="n">
        <f aca="false">(D14+D15)/2</f>
        <v>39.7</v>
      </c>
      <c r="E16" s="61" t="n">
        <f aca="false">(E14+E15)/2</f>
        <v>40.05</v>
      </c>
      <c r="F16" s="61" t="n">
        <f aca="false">(F14+F15)/2</f>
        <v>38.85</v>
      </c>
      <c r="G16" s="61" t="s">
        <v>95</v>
      </c>
    </row>
    <row r="35" customFormat="false" ht="15" hidden="false" customHeight="true" outlineLevel="0" collapsed="false">
      <c r="A35" s="27" t="s">
        <v>23</v>
      </c>
      <c r="B35" s="27"/>
      <c r="C35" s="27"/>
      <c r="D35" s="27"/>
      <c r="E35" s="27"/>
      <c r="F35" s="27"/>
      <c r="G35" s="27"/>
      <c r="H35" s="27"/>
      <c r="I35" s="27"/>
      <c r="J35" s="27"/>
    </row>
  </sheetData>
  <mergeCells count="4">
    <mergeCell ref="A1:G1"/>
    <mergeCell ref="A2:G2"/>
    <mergeCell ref="A12:G12"/>
    <mergeCell ref="A35:J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7E22"/>
    <pageSetUpPr fitToPage="false"/>
  </sheetPr>
  <dimension ref="A1:J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2"/>
    <col collapsed="false" customWidth="true" hidden="false" outlineLevel="0" max="4" min="3" style="1" width="16"/>
    <col collapsed="false" customWidth="true" hidden="false" outlineLevel="0" max="5" min="5" style="1" width="12"/>
    <col collapsed="false" customWidth="true" hidden="false" outlineLevel="0" max="6" min="6" style="1" width="14"/>
    <col collapsed="false" customWidth="true" hidden="false" outlineLevel="0" max="8" min="7" style="1" width="18"/>
  </cols>
  <sheetData>
    <row r="1" customFormat="false" ht="17.25" hidden="false" customHeight="true" outlineLevel="0" collapsed="false">
      <c r="A1" s="28" t="s">
        <v>106</v>
      </c>
      <c r="B1" s="28"/>
      <c r="C1" s="28"/>
      <c r="D1" s="28"/>
      <c r="E1" s="28"/>
      <c r="F1" s="28"/>
      <c r="G1" s="28"/>
      <c r="H1" s="28"/>
    </row>
    <row r="2" customFormat="false" ht="24" hidden="false" customHeight="true" outlineLevel="0" collapsed="false">
      <c r="A2" s="62" t="s">
        <v>107</v>
      </c>
      <c r="B2" s="62"/>
      <c r="C2" s="62"/>
      <c r="D2" s="62"/>
    </row>
    <row r="3" customFormat="false" ht="15" hidden="false" customHeight="true" outlineLevel="0" collapsed="false">
      <c r="A3" s="63" t="s">
        <v>108</v>
      </c>
      <c r="B3" s="64" t="n">
        <v>30</v>
      </c>
    </row>
    <row r="4" customFormat="false" ht="15" hidden="false" customHeight="true" outlineLevel="0" collapsed="false">
      <c r="A4" s="63" t="s">
        <v>44</v>
      </c>
      <c r="B4" s="64" t="n">
        <v>18</v>
      </c>
    </row>
    <row r="5" customFormat="false" ht="15" hidden="false" customHeight="true" outlineLevel="0" collapsed="false">
      <c r="A5" s="63" t="s">
        <v>109</v>
      </c>
      <c r="B5" s="64" t="n">
        <v>18</v>
      </c>
    </row>
    <row r="6" customFormat="false" ht="15" hidden="false" customHeight="false" outlineLevel="0" collapsed="false">
      <c r="B6" s="1" t="n">
        <f aca="false">B4-B5</f>
        <v>0</v>
      </c>
    </row>
    <row r="8" customFormat="false" ht="24" hidden="false" customHeight="true" outlineLevel="0" collapsed="false">
      <c r="A8" s="4" t="s">
        <v>110</v>
      </c>
      <c r="B8" s="4"/>
      <c r="C8" s="4"/>
      <c r="D8" s="4"/>
      <c r="E8" s="4"/>
      <c r="F8" s="4"/>
      <c r="G8" s="4"/>
      <c r="H8" s="4"/>
    </row>
    <row r="9" customFormat="false" ht="27.75" hidden="false" customHeight="true" outlineLevel="0" collapsed="false">
      <c r="A9" s="13" t="s">
        <v>26</v>
      </c>
      <c r="B9" s="13" t="s">
        <v>78</v>
      </c>
      <c r="C9" s="13" t="s">
        <v>41</v>
      </c>
      <c r="D9" s="13" t="s">
        <v>42</v>
      </c>
      <c r="E9" s="13" t="s">
        <v>43</v>
      </c>
      <c r="F9" s="13" t="s">
        <v>111</v>
      </c>
      <c r="G9" s="13" t="s">
        <v>45</v>
      </c>
      <c r="H9" s="13" t="s">
        <v>112</v>
      </c>
    </row>
    <row r="10" customFormat="false" ht="15" hidden="false" customHeight="true" outlineLevel="0" collapsed="false">
      <c r="A10" s="14" t="s">
        <v>34</v>
      </c>
      <c r="B10" s="17" t="s">
        <v>113</v>
      </c>
      <c r="C10" s="15" t="n">
        <v>15000</v>
      </c>
      <c r="D10" s="15" t="n">
        <v>12500</v>
      </c>
      <c r="E10" s="65" t="n">
        <f aca="false">IFERROR(D10/C10,0)</f>
        <v>0.833333333333333</v>
      </c>
      <c r="F10" s="66" t="n">
        <f aca="false">IFERROR(D10/$B$5*$B$4,0)</f>
        <v>12500</v>
      </c>
      <c r="G10" s="15" t="n">
        <f aca="false">IFERROR(D10/$B$5*$B$4,0)</f>
        <v>12500</v>
      </c>
      <c r="H10" s="67" t="n">
        <f aca="false">IFERROR(G10-C10,0)</f>
        <v>-2500</v>
      </c>
    </row>
    <row r="11" customFormat="false" ht="15" hidden="false" customHeight="true" outlineLevel="0" collapsed="false">
      <c r="A11" s="18" t="s">
        <v>35</v>
      </c>
      <c r="B11" s="21" t="s">
        <v>113</v>
      </c>
      <c r="C11" s="19" t="n">
        <v>20000</v>
      </c>
      <c r="D11" s="19" t="n">
        <v>18000</v>
      </c>
      <c r="E11" s="68" t="n">
        <f aca="false">IFERROR(D11/C11,0)</f>
        <v>0.9</v>
      </c>
      <c r="F11" s="69" t="n">
        <f aca="false">IFERROR(D11/$B$5*$B$4,0)</f>
        <v>18000</v>
      </c>
      <c r="G11" s="19" t="n">
        <f aca="false">IFERROR(D11/$B$5*$B$4,0)</f>
        <v>18000</v>
      </c>
      <c r="H11" s="70" t="n">
        <f aca="false">IFERROR(G11-C11,0)</f>
        <v>-2000</v>
      </c>
    </row>
    <row r="12" customFormat="false" ht="15" hidden="false" customHeight="true" outlineLevel="0" collapsed="false">
      <c r="A12" s="14" t="s">
        <v>36</v>
      </c>
      <c r="B12" s="17" t="s">
        <v>113</v>
      </c>
      <c r="C12" s="15" t="n">
        <v>10000</v>
      </c>
      <c r="D12" s="15" t="n">
        <v>9500</v>
      </c>
      <c r="E12" s="65" t="n">
        <f aca="false">IFERROR(D12/C12,0)</f>
        <v>0.95</v>
      </c>
      <c r="F12" s="66" t="n">
        <f aca="false">IFERROR(D12/$B$5*$B$4,0)</f>
        <v>9500</v>
      </c>
      <c r="G12" s="15" t="n">
        <f aca="false">IFERROR(D12/$B$5*$B$4,0)</f>
        <v>9500</v>
      </c>
      <c r="H12" s="67" t="n">
        <f aca="false">IFERROR(G12-C12,0)</f>
        <v>-500</v>
      </c>
    </row>
    <row r="13" customFormat="false" ht="15" hidden="false" customHeight="true" outlineLevel="0" collapsed="false">
      <c r="A13" s="18" t="s">
        <v>37</v>
      </c>
      <c r="B13" s="21" t="s">
        <v>113</v>
      </c>
      <c r="C13" s="19" t="n">
        <v>6000</v>
      </c>
      <c r="D13" s="19" t="n">
        <v>5200</v>
      </c>
      <c r="E13" s="68" t="n">
        <f aca="false">IFERROR(D13/C13,0)</f>
        <v>0.866666666666667</v>
      </c>
      <c r="F13" s="69" t="n">
        <f aca="false">IFERROR(D13/$B$5*$B$4,0)</f>
        <v>5200</v>
      </c>
      <c r="G13" s="19" t="n">
        <f aca="false">IFERROR(D13/$B$5*$B$4,0)</f>
        <v>5200</v>
      </c>
      <c r="H13" s="70" t="n">
        <f aca="false">IFERROR(G13-C13,0)</f>
        <v>-800</v>
      </c>
    </row>
    <row r="14" customFormat="false" ht="15" hidden="false" customHeight="true" outlineLevel="0" collapsed="false">
      <c r="A14" s="14" t="s">
        <v>38</v>
      </c>
      <c r="B14" s="17" t="s">
        <v>113</v>
      </c>
      <c r="C14" s="15" t="n">
        <v>10000</v>
      </c>
      <c r="D14" s="15" t="n">
        <v>8800</v>
      </c>
      <c r="E14" s="65" t="n">
        <f aca="false">IFERROR(D14/C14,0)</f>
        <v>0.88</v>
      </c>
      <c r="F14" s="66" t="n">
        <f aca="false">IFERROR(D14/$B$5*$B$4,0)</f>
        <v>8800</v>
      </c>
      <c r="G14" s="15" t="n">
        <f aca="false">IFERROR(D14/$B$5*$B$4,0)</f>
        <v>8800</v>
      </c>
      <c r="H14" s="67" t="n">
        <f aca="false">IFERROR(G14-C14,0)</f>
        <v>-1200</v>
      </c>
    </row>
    <row r="15" customFormat="false" ht="15" hidden="false" customHeight="true" outlineLevel="0" collapsed="false">
      <c r="A15" s="18" t="s">
        <v>53</v>
      </c>
      <c r="B15" s="21" t="s">
        <v>114</v>
      </c>
      <c r="C15" s="19" t="n">
        <v>10000</v>
      </c>
      <c r="D15" s="19" t="n">
        <v>8500</v>
      </c>
      <c r="E15" s="68" t="n">
        <f aca="false">IFERROR(D15/C15,0)</f>
        <v>0.85</v>
      </c>
      <c r="F15" s="69" t="n">
        <f aca="false">IFERROR(D15/$B$5*$B$4,0)</f>
        <v>8500</v>
      </c>
      <c r="G15" s="19" t="n">
        <f aca="false">IFERROR(D15/$B$5*$B$4,0)</f>
        <v>8500</v>
      </c>
      <c r="H15" s="70" t="n">
        <f aca="false">IFERROR(G15-C15,0)</f>
        <v>-1500</v>
      </c>
    </row>
    <row r="16" customFormat="false" ht="15" hidden="false" customHeight="true" outlineLevel="0" collapsed="false">
      <c r="A16" s="14" t="s">
        <v>55</v>
      </c>
      <c r="B16" s="17" t="s">
        <v>114</v>
      </c>
      <c r="C16" s="15" t="n">
        <v>12000</v>
      </c>
      <c r="D16" s="15" t="n">
        <v>10200</v>
      </c>
      <c r="E16" s="65" t="n">
        <f aca="false">IFERROR(D16/C16,0)</f>
        <v>0.85</v>
      </c>
      <c r="F16" s="66" t="n">
        <f aca="false">IFERROR(D16/$B$5*$B$4,0)</f>
        <v>10200</v>
      </c>
      <c r="G16" s="15" t="n">
        <f aca="false">IFERROR(D16/$B$5*$B$4,0)</f>
        <v>10200</v>
      </c>
      <c r="H16" s="67" t="n">
        <f aca="false">IFERROR(G16-C16,0)</f>
        <v>-1800</v>
      </c>
    </row>
    <row r="17" customFormat="false" ht="15" hidden="false" customHeight="true" outlineLevel="0" collapsed="false">
      <c r="A17" s="18" t="s">
        <v>57</v>
      </c>
      <c r="B17" s="21" t="s">
        <v>114</v>
      </c>
      <c r="C17" s="19" t="n">
        <v>8000</v>
      </c>
      <c r="D17" s="19" t="n">
        <v>6800</v>
      </c>
      <c r="E17" s="68" t="n">
        <f aca="false">IFERROR(D17/C17,0)</f>
        <v>0.85</v>
      </c>
      <c r="F17" s="69" t="n">
        <f aca="false">IFERROR(D17/$B$5*$B$4,0)</f>
        <v>6800</v>
      </c>
      <c r="G17" s="19" t="n">
        <f aca="false">IFERROR(D17/$B$5*$B$4,0)</f>
        <v>6800</v>
      </c>
      <c r="H17" s="70" t="n">
        <f aca="false">IFERROR(G17-C17,0)</f>
        <v>-1200</v>
      </c>
    </row>
    <row r="18" customFormat="false" ht="15" hidden="false" customHeight="true" outlineLevel="0" collapsed="false">
      <c r="A18" s="14" t="s">
        <v>59</v>
      </c>
      <c r="B18" s="17" t="s">
        <v>114</v>
      </c>
      <c r="C18" s="15" t="n">
        <v>9000</v>
      </c>
      <c r="D18" s="15" t="n">
        <v>7400</v>
      </c>
      <c r="E18" s="65" t="n">
        <f aca="false">IFERROR(D18/C18,0)</f>
        <v>0.822222222222222</v>
      </c>
      <c r="F18" s="66" t="n">
        <f aca="false">IFERROR(D18/$B$5*$B$4,0)</f>
        <v>7400</v>
      </c>
      <c r="G18" s="15" t="n">
        <f aca="false">IFERROR(D18/$B$5*$B$4,0)</f>
        <v>7400</v>
      </c>
      <c r="H18" s="67" t="n">
        <f aca="false">IFERROR(G18-C18,0)</f>
        <v>-1600</v>
      </c>
    </row>
    <row r="19" customFormat="false" ht="15" hidden="false" customHeight="true" outlineLevel="0" collapsed="false">
      <c r="A19" s="36" t="s">
        <v>39</v>
      </c>
      <c r="B19" s="71"/>
      <c r="E19" s="37" t="n">
        <f aca="false">IFERROR(SUM(C10:C18),0)</f>
        <v>100000</v>
      </c>
      <c r="F19" s="37" t="n">
        <f aca="false">SUM(D10:D18)</f>
        <v>86900</v>
      </c>
      <c r="G19" s="72" t="n">
        <f aca="false">IFERROR(D19/C19,0)</f>
        <v>0</v>
      </c>
      <c r="H19" s="72" t="n">
        <f aca="false">IFERROR($B$5/$B$4,0)</f>
        <v>1</v>
      </c>
      <c r="I19" s="37" t="n">
        <f aca="false">SUM(G10:G18)</f>
        <v>86900</v>
      </c>
      <c r="J19" s="37" t="n">
        <f aca="false">G19-C19</f>
        <v>0</v>
      </c>
    </row>
    <row r="24" customFormat="false" ht="15" hidden="false" customHeight="true" outlineLevel="0" collapsed="false">
      <c r="A24" s="27" t="s">
        <v>23</v>
      </c>
      <c r="B24" s="27"/>
      <c r="C24" s="27"/>
      <c r="D24" s="27"/>
      <c r="E24" s="27"/>
      <c r="F24" s="27"/>
      <c r="G24" s="27"/>
      <c r="H24" s="27"/>
      <c r="I24" s="27"/>
      <c r="J24" s="27"/>
    </row>
  </sheetData>
  <mergeCells count="4">
    <mergeCell ref="A1:H1"/>
    <mergeCell ref="A2:D2"/>
    <mergeCell ref="A8:H8"/>
    <mergeCell ref="A24:J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392B"/>
    <pageSetUpPr fitToPage="false"/>
  </sheetPr>
  <dimension ref="A1:J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44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7" min="5" style="1" width="14"/>
  </cols>
  <sheetData>
    <row r="1" customFormat="false" ht="17.25" hidden="false" customHeight="true" outlineLevel="0" collapsed="false">
      <c r="A1" s="28" t="s">
        <v>115</v>
      </c>
      <c r="B1" s="28"/>
      <c r="C1" s="28"/>
      <c r="D1" s="28"/>
      <c r="E1" s="28"/>
      <c r="F1" s="28"/>
      <c r="G1" s="28"/>
    </row>
    <row r="3" customFormat="false" ht="27.75" hidden="false" customHeight="true" outlineLevel="0" collapsed="false">
      <c r="A3" s="13" t="s">
        <v>116</v>
      </c>
      <c r="B3" s="13" t="s">
        <v>117</v>
      </c>
      <c r="C3" s="13" t="s">
        <v>78</v>
      </c>
      <c r="D3" s="13" t="s">
        <v>118</v>
      </c>
      <c r="E3" s="13" t="s">
        <v>119</v>
      </c>
      <c r="F3" s="13" t="s">
        <v>120</v>
      </c>
      <c r="G3" s="13" t="s">
        <v>121</v>
      </c>
    </row>
    <row r="4" customFormat="false" ht="23.25" hidden="false" customHeight="true" outlineLevel="0" collapsed="false">
      <c r="A4" s="73" t="n">
        <v>1</v>
      </c>
      <c r="B4" s="74" t="s">
        <v>122</v>
      </c>
      <c r="C4" s="17" t="s">
        <v>114</v>
      </c>
      <c r="D4" s="45" t="s">
        <v>123</v>
      </c>
      <c r="E4" s="17" t="s">
        <v>124</v>
      </c>
      <c r="F4" s="17" t="s">
        <v>125</v>
      </c>
      <c r="G4" s="17" t="s">
        <v>126</v>
      </c>
    </row>
    <row r="5" customFormat="false" ht="23.25" hidden="false" customHeight="true" outlineLevel="0" collapsed="false">
      <c r="A5" s="51" t="n">
        <v>2</v>
      </c>
      <c r="B5" s="75" t="s">
        <v>127</v>
      </c>
      <c r="C5" s="21" t="s">
        <v>113</v>
      </c>
      <c r="D5" s="76" t="s">
        <v>123</v>
      </c>
      <c r="E5" s="21" t="s">
        <v>128</v>
      </c>
      <c r="F5" s="21" t="s">
        <v>129</v>
      </c>
      <c r="G5" s="21" t="s">
        <v>130</v>
      </c>
    </row>
    <row r="6" customFormat="false" ht="23.25" hidden="false" customHeight="true" outlineLevel="0" collapsed="false">
      <c r="A6" s="73" t="n">
        <v>3</v>
      </c>
      <c r="B6" s="74" t="s">
        <v>131</v>
      </c>
      <c r="C6" s="17" t="s">
        <v>113</v>
      </c>
      <c r="D6" s="45" t="s">
        <v>123</v>
      </c>
      <c r="E6" s="17" t="s">
        <v>132</v>
      </c>
      <c r="F6" s="17" t="s">
        <v>129</v>
      </c>
      <c r="G6" s="17" t="s">
        <v>130</v>
      </c>
    </row>
    <row r="7" customFormat="false" ht="23.25" hidden="false" customHeight="true" outlineLevel="0" collapsed="false">
      <c r="A7" s="51" t="n">
        <v>4</v>
      </c>
      <c r="B7" s="75" t="s">
        <v>133</v>
      </c>
      <c r="C7" s="21" t="s">
        <v>114</v>
      </c>
      <c r="D7" s="44" t="s">
        <v>134</v>
      </c>
      <c r="E7" s="21" t="s">
        <v>135</v>
      </c>
      <c r="F7" s="21" t="s">
        <v>136</v>
      </c>
      <c r="G7" s="21" t="s">
        <v>126</v>
      </c>
    </row>
    <row r="8" customFormat="false" ht="23.25" hidden="false" customHeight="true" outlineLevel="0" collapsed="false">
      <c r="A8" s="73" t="n">
        <v>5</v>
      </c>
      <c r="B8" s="74" t="s">
        <v>137</v>
      </c>
      <c r="C8" s="17" t="s">
        <v>114</v>
      </c>
      <c r="D8" s="77" t="s">
        <v>134</v>
      </c>
      <c r="E8" s="17" t="s">
        <v>138</v>
      </c>
      <c r="F8" s="17" t="s">
        <v>139</v>
      </c>
      <c r="G8" s="17" t="s">
        <v>62</v>
      </c>
    </row>
    <row r="9" customFormat="false" ht="23.25" hidden="false" customHeight="true" outlineLevel="0" collapsed="false">
      <c r="A9" s="51" t="n">
        <v>6</v>
      </c>
      <c r="B9" s="75" t="s">
        <v>140</v>
      </c>
      <c r="C9" s="21" t="s">
        <v>141</v>
      </c>
      <c r="D9" s="46" t="s">
        <v>142</v>
      </c>
      <c r="E9" s="21" t="s">
        <v>143</v>
      </c>
      <c r="F9" s="21" t="s">
        <v>144</v>
      </c>
      <c r="G9" s="21" t="s">
        <v>145</v>
      </c>
    </row>
    <row r="14" customFormat="false" ht="15" hidden="false" customHeight="true" outlineLevel="0" collapsed="false">
      <c r="A14" s="27" t="s">
        <v>23</v>
      </c>
      <c r="B14" s="27"/>
      <c r="C14" s="27"/>
      <c r="D14" s="27"/>
      <c r="E14" s="27"/>
      <c r="F14" s="27"/>
      <c r="G14" s="27"/>
      <c r="H14" s="27"/>
      <c r="I14" s="27"/>
      <c r="J14" s="27"/>
    </row>
  </sheetData>
  <mergeCells count="2">
    <mergeCell ref="A1:G1"/>
    <mergeCell ref="A14:J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2026-06-28T22:43:31Z</dcterms:created>
  <dc:creator>openpyxl</dc:creator>
  <dc:description/>
  <dc:language>en-US</dc:language>
  <cp:lastModifiedBy/>
  <dcterms:modified xsi:type="dcterms:W3CDTF">2026-06-28T22:44:41Z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