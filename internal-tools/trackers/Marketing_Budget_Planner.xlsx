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3"/>
    <sheet name="Budget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<sst xmlns="http://schemas.openxmlformats.org/spreadsheetml/2006/main" count="64" uniqueCount="64">
  <si>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MARKETING BUDGET PLANNER  |  NorCal SBDC</t>
  </si>
  <si>
    <t xml:space="preserve">Client / Business:</t>
  </si>
  <si>
    <t xml:space="preserve">Advisor:</t>
  </si>
  <si>
    <t xml:space="preserve">Period:</t>
  </si>
  <si>
    <t xml:space="preserve">Monthly</t>
  </si>
  <si>
    <t xml:space="preserve">TOTAL BUDGET ($):</t>
  </si>
  <si>
    <t xml:space="preserve">Channel / Line Item</t>
  </si>
  <si>
    <t xml:space="preserve">Budgeted ($)</t>
  </si>
  <si>
    <t xml:space="preserve">Actual Spent ($)</t>
  </si>
  <si>
    <t xml:space="preserve">Variance ($)</t>
  </si>
  <si>
    <t xml:space="preserve">% of Total Budget</t>
  </si>
  <si>
    <t xml:space="preserve">Impressions</t>
  </si>
  <si>
    <t xml:space="preserve">Clicks / Reach</t>
  </si>
  <si>
    <t xml:space="preserve">Leads / Conv.</t>
  </si>
  <si>
    <t xml:space="preserve">Cost Per Lead ($)</t>
  </si>
  <si>
    <t xml:space="preserve">Revenue Attr. ($)</t>
  </si>
  <si>
    <t xml:space="preserve">ROAS / ROI</t>
  </si>
  <si>
    <t xml:space="preserve">Notes</t>
  </si>
  <si>
    <t xml:space="preserve">  ORGANIC / OWNED</t>
  </si>
  <si>
    <t xml:space="preserve">SEO &amp; Content Creation</t>
  </si>
  <si>
    <t xml:space="preserve">Email Marketing</t>
  </si>
  <si>
    <t xml:space="preserve">Social Media (Organic)</t>
  </si>
  <si>
    <t xml:space="preserve">Website Maintenance / Hosting</t>
  </si>
  <si>
    <t xml:space="preserve">Photography / Video</t>
  </si>
  <si>
    <t xml:space="preserve">Copywriting / Design</t>
  </si>
  <si>
    <t xml:space="preserve">Tools &amp; Software (Canva, Mailchimp, etc.)</t>
  </si>
  <si>
    <t xml:space="preserve">  ORGANIC / OWNED  —  Subtotal</t>
  </si>
  <si>
    <t xml:space="preserve">  PAID ADVERTISING</t>
  </si>
  <si>
    <t xml:space="preserve">Google Search Ads (PPC)</t>
  </si>
  <si>
    <t xml:space="preserve">Google Display / Retargeting</t>
  </si>
  <si>
    <t xml:space="preserve">Meta Ads (Facebook / Instagram)</t>
  </si>
  <si>
    <t xml:space="preserve">TikTok Ads</t>
  </si>
  <si>
    <t xml:space="preserve">Pinterest Ads</t>
  </si>
  <si>
    <t xml:space="preserve">YouTube Ads</t>
  </si>
  <si>
    <t xml:space="preserve">Yelp Ads / Sponsorship</t>
  </si>
  <si>
    <t xml:space="preserve">  PAID ADVERTISING  —  Subtotal</t>
  </si>
  <si>
    <t xml:space="preserve">  LOCAL &amp; EVENTS</t>
  </si>
  <si>
    <t xml:space="preserve">Event Sponsorship / Booth</t>
  </si>
  <si>
    <t xml:space="preserve">Flyers / Print Materials</t>
  </si>
  <si>
    <t xml:space="preserve">Direct Mail</t>
  </si>
  <si>
    <t xml:space="preserve">Local Directory Listings</t>
  </si>
  <si>
    <t xml:space="preserve">PR / Press Outreach</t>
  </si>
  <si>
    <t xml:space="preserve">  LOCAL &amp; EVENTS  —  Subtotal</t>
  </si>
  <si>
    <t xml:space="preserve">  AGENCY / FREELANCE</t>
  </si>
  <si>
    <t xml:space="preserve">Marketing Agency Retainer</t>
  </si>
  <si>
    <t xml:space="preserve">Freelance Designer</t>
  </si>
  <si>
    <t xml:space="preserve">Freelance Copywriter</t>
  </si>
  <si>
    <t xml:space="preserve">Consultant / Advisor Fees</t>
  </si>
  <si>
    <t xml:space="preserve">Other Contracted Services</t>
  </si>
  <si>
    <t xml:space="preserve">  AGENCY / FREELANCE  —  Subtotal</t>
  </si>
  <si>
    <t xml:space="preserve">  GRAND TOTAL</t>
  </si>
  <si>
    <t xml:space="preserve">MARKETING BUDGET  |  DASHBOARD &amp; ROI SUMMARY</t>
  </si>
  <si>
    <t xml:space="preserve">Total Budget:</t>
  </si>
  <si>
    <t xml:space="preserve">Category</t>
  </si>
  <si>
    <t xml:space="preserve">Budgeted</t>
  </si>
  <si>
    <t xml:space="preserve">Actual</t>
  </si>
  <si>
    <t xml:space="preserve">Variance</t>
  </si>
  <si>
    <t xml:space="preserve">% Budget</t>
  </si>
  <si>
    <t xml:space="preserve">Overall ROAS</t>
  </si>
  <si>
    <t xml:space="preserve">Organic / Owned</t>
  </si>
  <si>
    <t xml:space="preserve">Paid Advertising</t>
  </si>
  <si>
    <t xml:space="preserve">Local &amp; Events</t>
  </si>
  <si>
    <t xml:space="preserve">Agency / Freelance</t>
  </si>
  <si>
    <t xml:space="preserve">GRAND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</si>
</sst>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\$#,##0;&quot;($&quot;#,##0\);\-"/>
    <numFmt numFmtId="167" formatCode="0.0%"/>
    <numFmt numFmtId="168" formatCode="#,##0"/>
    <numFmt numFmtId="169" formatCode="\$#,##0.00"/>
    <numFmt numFmtId="170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10"/>
      <color rgb="FF1B3A5C"/>
      <name val="Arial"/>
      <family val="0"/>
      <charset val="1"/>
    </font>
    <font>
      <sz val="9"/>
      <color rgb="FF11111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2E7D8C"/>
      <name val="Arial"/>
      <family val="0"/>
      <charset val="1"/>
    </font>
    <font>
      <b val="true"/>
      <sz val="9"/>
      <color rgb="FF2C5F6E"/>
      <name val="Arial"/>
      <family val="0"/>
      <charset val="1"/>
    </font>
    <font>
      <b val="true"/>
      <sz val="9"/>
      <color rgb="FF1E4D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B3A5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1E4D5E"/>
      </patternFill>
    </fill>
    <fill>
      <patternFill patternType="solid">
        <fgColor rgb="FFD6EEF1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2C5F6E"/>
      </patternFill>
    </fill>
    <fill>
      <patternFill patternType="solid">
        <fgColor rgb="FFF5F5F5"/>
        <bgColor rgb="FFFDF3E0"/>
      </patternFill>
    </fill>
    <fill>
      <patternFill patternType="solid">
        <fgColor rgb="FF2C5F6E"/>
        <bgColor rgb="FF1E4D5E"/>
      </patternFill>
    </fill>
    <fill>
      <patternFill patternType="solid">
        <fgColor rgb="FF1E4D5E"/>
        <bgColor rgb="FF1B3A5C"/>
      </patternFill>
    </fill>
    <fill>
      <patternFill patternType="solid">
        <fgColor rgb="FFFDF3E0"/>
        <bgColor rgb="FFFFF3CD"/>
      </patternFill>
    </fill>
    <fill>
      <patternFill patternType="solid">
        <fgColor rgb="FFD4EDDA"/>
        <bgColor rgb="FFD6EEF1"/>
      </patternFill>
    </fill>
    <fill>
      <patternFill patternType="solid">
        <fgColor rgb="FFFFF3CD"/>
        <bgColor rgb="FFFDF3E0"/>
      </patternFill>
    </fill>
    <fill>
      <patternFill patternType="solid">
        <fgColor rgb="FFEDE7F6"/>
        <bgColor rgb="FFF5F5F5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C5F6E"/>
      </left>
      <right/>
      <top style="thin">
        <color rgb="FF2C5F6E"/>
      </top>
      <bottom style="thin">
        <color rgb="FF2C5F6E"/>
      </bottom>
      <diagonal/>
    </border>
    <border diagonalUp="false" diagonalDown="false">
      <left style="thin">
        <color rgb="FF2C5F6E"/>
      </left>
      <right style="thin">
        <color rgb="FF2C5F6E"/>
      </right>
      <top style="thin">
        <color rgb="FF2C5F6E"/>
      </top>
      <bottom style="thin">
        <color rgb="FF2C5F6E"/>
      </bottom>
      <diagonal/>
    </border>
    <border diagonalUp="false" diagonalDown="false">
      <left style="thin">
        <color rgb="FF1E4D5E"/>
      </left>
      <right/>
      <top style="thin">
        <color rgb="FF1E4D5E"/>
      </top>
      <bottom style="thin">
        <color rgb="FF1E4D5E"/>
      </bottom>
      <diagonal/>
    </border>
    <border diagonalUp="false" diagonalDown="false">
      <left style="thin">
        <color rgb="FF1E4D5E"/>
      </left>
      <right style="thin">
        <color rgb="FF1E4D5E"/>
      </right>
      <top style="thin">
        <color rgb="FF1E4D5E"/>
      </top>
      <bottom style="thin">
        <color rgb="FF1E4D5E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E7E34"/>
        <sz val="10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B6010"/>
        <sz val="1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10"/>
      </font>
      <fill>
        <patternFill>
          <bgColor rgb="FFF8D7DA"/>
        </patternFill>
      </fill>
    </dxf>
    <dxf>
      <font>
        <name val="Arial"/>
        <charset val="1"/>
        <family val="0"/>
        <color rgb="FF1E7E34"/>
        <sz val="10"/>
      </font>
      <fill>
        <patternFill>
          <bgColor rgb="FFD4EDDA"/>
        </patternFill>
      </fill>
    </dxf>
    <dxf>
      <font>
        <name val="Arial"/>
        <charset val="1"/>
        <family val="0"/>
        <color rgb="FF8B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2C5F6E"/>
      <rgbColor rgb="FFEDE7F6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1E4D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3"/>
      <c r="D2" s="3"/>
      <c r="E2" s="4" t="s">
        <v>2</v>
      </c>
      <c r="F2" s="3"/>
      <c r="G2" s="3"/>
      <c r="H2" s="4" t="s">
        <v>3</v>
      </c>
      <c r="I2" s="3" t="s">
        <v>4</v>
      </c>
      <c r="J2" s="3"/>
      <c r="K2" s="5" t="s">
        <v>5</v>
      </c>
      <c r="L2" s="6" t="n">
        <v>0</v>
      </c>
    </row>
    <row r="3" customFormat="false" ht="30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</row>
    <row r="4" customFormat="false" ht="21.75" hidden="false" customHeight="true" outlineLevel="0" collapsed="false">
      <c r="A4" s="8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19.5" hidden="false" customHeight="true" outlineLevel="0" collapsed="false">
      <c r="A5" s="9" t="s">
        <v>19</v>
      </c>
      <c r="B5" s="10" t="n">
        <v>0</v>
      </c>
      <c r="C5" s="11" t="n">
        <v>0</v>
      </c>
      <c r="D5" s="12" t="n">
        <f aca="false">B5-C5</f>
        <v>0</v>
      </c>
      <c r="E5" s="13" t="n">
        <f aca="false">IFERROR(B5/L2,0)</f>
        <v>0</v>
      </c>
      <c r="F5" s="14" t="n">
        <v>0</v>
      </c>
      <c r="G5" s="14" t="n">
        <v>0</v>
      </c>
      <c r="H5" s="14" t="n">
        <v>0</v>
      </c>
      <c r="I5" s="15" t="n">
        <f aca="false">IFERROR(C5/H5,0)</f>
        <v>0</v>
      </c>
      <c r="J5" s="16" t="n">
        <v>0</v>
      </c>
      <c r="K5" s="17" t="n">
        <f aca="false">IFERROR(J5/C5,0)</f>
        <v>0</v>
      </c>
      <c r="L5" s="18"/>
    </row>
    <row r="6" customFormat="false" ht="19.5" hidden="false" customHeight="true" outlineLevel="0" collapsed="false">
      <c r="A6" s="19" t="s">
        <v>20</v>
      </c>
      <c r="B6" s="20" t="n">
        <v>0</v>
      </c>
      <c r="C6" s="21" t="n">
        <v>0</v>
      </c>
      <c r="D6" s="22" t="n">
        <f aca="false">B6-C6</f>
        <v>0</v>
      </c>
      <c r="E6" s="23" t="n">
        <f aca="false">IFERROR(B6/L2,0)</f>
        <v>0</v>
      </c>
      <c r="F6" s="24" t="n">
        <v>0</v>
      </c>
      <c r="G6" s="24" t="n">
        <v>0</v>
      </c>
      <c r="H6" s="24" t="n">
        <v>0</v>
      </c>
      <c r="I6" s="25" t="n">
        <f aca="false">IFERROR(C6/H6,0)</f>
        <v>0</v>
      </c>
      <c r="J6" s="26" t="n">
        <v>0</v>
      </c>
      <c r="K6" s="27" t="n">
        <f aca="false">IFERROR(J6/C6,0)</f>
        <v>0</v>
      </c>
      <c r="L6" s="28"/>
    </row>
    <row r="7" customFormat="false" ht="19.5" hidden="false" customHeight="true" outlineLevel="0" collapsed="false">
      <c r="A7" s="9" t="s">
        <v>21</v>
      </c>
      <c r="B7" s="10" t="n">
        <v>0</v>
      </c>
      <c r="C7" s="11" t="n">
        <v>0</v>
      </c>
      <c r="D7" s="12" t="n">
        <f aca="false">B7-C7</f>
        <v>0</v>
      </c>
      <c r="E7" s="13" t="n">
        <f aca="false">IFERROR(B7/L2,0)</f>
        <v>0</v>
      </c>
      <c r="F7" s="14" t="n">
        <v>0</v>
      </c>
      <c r="G7" s="14" t="n">
        <v>0</v>
      </c>
      <c r="H7" s="14" t="n">
        <v>0</v>
      </c>
      <c r="I7" s="15" t="n">
        <f aca="false">IFERROR(C7/H7,0)</f>
        <v>0</v>
      </c>
      <c r="J7" s="16" t="n">
        <v>0</v>
      </c>
      <c r="K7" s="17" t="n">
        <f aca="false">IFERROR(J7/C7,0)</f>
        <v>0</v>
      </c>
      <c r="L7" s="18"/>
    </row>
    <row r="8" customFormat="false" ht="19.5" hidden="false" customHeight="true" outlineLevel="0" collapsed="false">
      <c r="A8" s="19" t="s">
        <v>22</v>
      </c>
      <c r="B8" s="20" t="n">
        <v>0</v>
      </c>
      <c r="C8" s="21" t="n">
        <v>0</v>
      </c>
      <c r="D8" s="22" t="n">
        <f aca="false">B8-C8</f>
        <v>0</v>
      </c>
      <c r="E8" s="23" t="n">
        <f aca="false">IFERROR(B8/L2,0)</f>
        <v>0</v>
      </c>
      <c r="F8" s="24" t="n">
        <v>0</v>
      </c>
      <c r="G8" s="24" t="n">
        <v>0</v>
      </c>
      <c r="H8" s="24" t="n">
        <v>0</v>
      </c>
      <c r="I8" s="25" t="n">
        <f aca="false">IFERROR(C8/H8,0)</f>
        <v>0</v>
      </c>
      <c r="J8" s="26" t="n">
        <v>0</v>
      </c>
      <c r="K8" s="27" t="n">
        <f aca="false">IFERROR(J8/C8,0)</f>
        <v>0</v>
      </c>
      <c r="L8" s="28"/>
    </row>
    <row r="9" customFormat="false" ht="19.5" hidden="false" customHeight="true" outlineLevel="0" collapsed="false">
      <c r="A9" s="9" t="s">
        <v>23</v>
      </c>
      <c r="B9" s="10" t="n">
        <v>0</v>
      </c>
      <c r="C9" s="11" t="n">
        <v>0</v>
      </c>
      <c r="D9" s="12" t="n">
        <f aca="false">B9-C9</f>
        <v>0</v>
      </c>
      <c r="E9" s="13" t="n">
        <f aca="false">IFERROR(B9/L2,0)</f>
        <v>0</v>
      </c>
      <c r="F9" s="14" t="n">
        <v>0</v>
      </c>
      <c r="G9" s="14" t="n">
        <v>0</v>
      </c>
      <c r="H9" s="14" t="n">
        <v>0</v>
      </c>
      <c r="I9" s="15" t="n">
        <f aca="false">IFERROR(C9/H9,0)</f>
        <v>0</v>
      </c>
      <c r="J9" s="16" t="n">
        <v>0</v>
      </c>
      <c r="K9" s="17" t="n">
        <f aca="false">IFERROR(J9/C9,0)</f>
        <v>0</v>
      </c>
      <c r="L9" s="18"/>
    </row>
    <row r="10" customFormat="false" ht="19.5" hidden="false" customHeight="true" outlineLevel="0" collapsed="false">
      <c r="A10" s="19" t="s">
        <v>24</v>
      </c>
      <c r="B10" s="20" t="n">
        <v>0</v>
      </c>
      <c r="C10" s="21" t="n">
        <v>0</v>
      </c>
      <c r="D10" s="22" t="n">
        <f aca="false">B10-C10</f>
        <v>0</v>
      </c>
      <c r="E10" s="23" t="n">
        <f aca="false">IFERROR(B10/L2,0)</f>
        <v>0</v>
      </c>
      <c r="F10" s="24" t="n">
        <v>0</v>
      </c>
      <c r="G10" s="24" t="n">
        <v>0</v>
      </c>
      <c r="H10" s="24" t="n">
        <v>0</v>
      </c>
      <c r="I10" s="25" t="n">
        <f aca="false">IFERROR(C10/H10,0)</f>
        <v>0</v>
      </c>
      <c r="J10" s="26" t="n">
        <v>0</v>
      </c>
      <c r="K10" s="27" t="n">
        <f aca="false">IFERROR(J10/C10,0)</f>
        <v>0</v>
      </c>
      <c r="L10" s="28"/>
    </row>
    <row r="11" customFormat="false" ht="19.5" hidden="false" customHeight="true" outlineLevel="0" collapsed="false">
      <c r="A11" s="9" t="s">
        <v>25</v>
      </c>
      <c r="B11" s="10" t="n">
        <v>0</v>
      </c>
      <c r="C11" s="11" t="n">
        <v>0</v>
      </c>
      <c r="D11" s="12" t="n">
        <f aca="false">B11-C11</f>
        <v>0</v>
      </c>
      <c r="E11" s="13" t="n">
        <f aca="false">IFERROR(B11/L2,0)</f>
        <v>0</v>
      </c>
      <c r="F11" s="14" t="n">
        <v>0</v>
      </c>
      <c r="G11" s="14" t="n">
        <v>0</v>
      </c>
      <c r="H11" s="14" t="n">
        <v>0</v>
      </c>
      <c r="I11" s="15" t="n">
        <f aca="false">IFERROR(C11/H11,0)</f>
        <v>0</v>
      </c>
      <c r="J11" s="16" t="n">
        <v>0</v>
      </c>
      <c r="K11" s="17" t="n">
        <f aca="false">IFERROR(J11/C11,0)</f>
        <v>0</v>
      </c>
      <c r="L11" s="18"/>
    </row>
    <row r="12" customFormat="false" ht="19.5" hidden="false" customHeight="true" outlineLevel="0" collapsed="false">
      <c r="A12" s="29" t="s">
        <v>26</v>
      </c>
      <c r="B12" s="30" t="n">
        <f aca="false">SUM(B5:B11)</f>
        <v>0</v>
      </c>
      <c r="C12" s="30" t="n">
        <f aca="false">SUM(C5:C11)</f>
        <v>0</v>
      </c>
      <c r="D12" s="30" t="n">
        <f aca="false">SUM(D5:D11)</f>
        <v>0</v>
      </c>
      <c r="E12" s="31" t="n">
        <f aca="false">IFERROR(B12/L2,0)</f>
        <v>0</v>
      </c>
      <c r="F12" s="32"/>
      <c r="G12" s="32"/>
      <c r="H12" s="32"/>
      <c r="I12" s="32"/>
      <c r="J12" s="30" t="n">
        <f aca="false">SUM(J5:J11)</f>
        <v>0</v>
      </c>
      <c r="K12" s="33" t="n">
        <f aca="false">IFERROR(J12/C12,0)</f>
        <v>0</v>
      </c>
      <c r="L12" s="32"/>
    </row>
    <row r="14" customFormat="false" ht="21.75" hidden="false" customHeight="true" outlineLevel="0" collapsed="false">
      <c r="A14" s="34" t="s">
        <v>27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customFormat="false" ht="19.5" hidden="false" customHeight="true" outlineLevel="0" collapsed="false">
      <c r="A15" s="35" t="s">
        <v>28</v>
      </c>
      <c r="B15" s="10" t="n">
        <v>0</v>
      </c>
      <c r="C15" s="11" t="n">
        <v>0</v>
      </c>
      <c r="D15" s="12" t="n">
        <f aca="false">B15-C15</f>
        <v>0</v>
      </c>
      <c r="E15" s="13" t="n">
        <f aca="false">IFERROR(B15/L2,0)</f>
        <v>0</v>
      </c>
      <c r="F15" s="14" t="n">
        <v>0</v>
      </c>
      <c r="G15" s="14" t="n">
        <v>0</v>
      </c>
      <c r="H15" s="14" t="n">
        <v>0</v>
      </c>
      <c r="I15" s="15" t="n">
        <f aca="false">IFERROR(C15/H15,0)</f>
        <v>0</v>
      </c>
      <c r="J15" s="16" t="n">
        <v>0</v>
      </c>
      <c r="K15" s="17" t="n">
        <f aca="false">IFERROR(J15/C15,0)</f>
        <v>0</v>
      </c>
      <c r="L15" s="18"/>
    </row>
    <row r="16" customFormat="false" ht="19.5" hidden="false" customHeight="true" outlineLevel="0" collapsed="false">
      <c r="A16" s="36" t="s">
        <v>29</v>
      </c>
      <c r="B16" s="20" t="n">
        <v>0</v>
      </c>
      <c r="C16" s="21" t="n">
        <v>0</v>
      </c>
      <c r="D16" s="22" t="n">
        <f aca="false">B16-C16</f>
        <v>0</v>
      </c>
      <c r="E16" s="23" t="n">
        <f aca="false">IFERROR(B16/L2,0)</f>
        <v>0</v>
      </c>
      <c r="F16" s="24" t="n">
        <v>0</v>
      </c>
      <c r="G16" s="24" t="n">
        <v>0</v>
      </c>
      <c r="H16" s="24" t="n">
        <v>0</v>
      </c>
      <c r="I16" s="25" t="n">
        <f aca="false">IFERROR(C16/H16,0)</f>
        <v>0</v>
      </c>
      <c r="J16" s="26" t="n">
        <v>0</v>
      </c>
      <c r="K16" s="27" t="n">
        <f aca="false">IFERROR(J16/C16,0)</f>
        <v>0</v>
      </c>
      <c r="L16" s="28"/>
    </row>
    <row r="17" customFormat="false" ht="19.5" hidden="false" customHeight="true" outlineLevel="0" collapsed="false">
      <c r="A17" s="35" t="s">
        <v>30</v>
      </c>
      <c r="B17" s="10" t="n">
        <v>0</v>
      </c>
      <c r="C17" s="11" t="n">
        <v>0</v>
      </c>
      <c r="D17" s="12" t="n">
        <f aca="false">B17-C17</f>
        <v>0</v>
      </c>
      <c r="E17" s="13" t="n">
        <f aca="false">IFERROR(B17/L2,0)</f>
        <v>0</v>
      </c>
      <c r="F17" s="14" t="n">
        <v>0</v>
      </c>
      <c r="G17" s="14" t="n">
        <v>0</v>
      </c>
      <c r="H17" s="14" t="n">
        <v>0</v>
      </c>
      <c r="I17" s="15" t="n">
        <f aca="false">IFERROR(C17/H17,0)</f>
        <v>0</v>
      </c>
      <c r="J17" s="16" t="n">
        <v>0</v>
      </c>
      <c r="K17" s="17" t="n">
        <f aca="false">IFERROR(J17/C17,0)</f>
        <v>0</v>
      </c>
      <c r="L17" s="18"/>
    </row>
    <row r="18" customFormat="false" ht="19.5" hidden="false" customHeight="true" outlineLevel="0" collapsed="false">
      <c r="A18" s="36" t="s">
        <v>31</v>
      </c>
      <c r="B18" s="20" t="n">
        <v>0</v>
      </c>
      <c r="C18" s="21" t="n">
        <v>0</v>
      </c>
      <c r="D18" s="22" t="n">
        <f aca="false">B18-C18</f>
        <v>0</v>
      </c>
      <c r="E18" s="23" t="n">
        <f aca="false">IFERROR(B18/L2,0)</f>
        <v>0</v>
      </c>
      <c r="F18" s="24" t="n">
        <v>0</v>
      </c>
      <c r="G18" s="24" t="n">
        <v>0</v>
      </c>
      <c r="H18" s="24" t="n">
        <v>0</v>
      </c>
      <c r="I18" s="25" t="n">
        <f aca="false">IFERROR(C18/H18,0)</f>
        <v>0</v>
      </c>
      <c r="J18" s="26" t="n">
        <v>0</v>
      </c>
      <c r="K18" s="27" t="n">
        <f aca="false">IFERROR(J18/C18,0)</f>
        <v>0</v>
      </c>
      <c r="L18" s="28"/>
    </row>
    <row r="19" customFormat="false" ht="19.5" hidden="false" customHeight="true" outlineLevel="0" collapsed="false">
      <c r="A19" s="35" t="s">
        <v>32</v>
      </c>
      <c r="B19" s="10" t="n">
        <v>0</v>
      </c>
      <c r="C19" s="11" t="n">
        <v>0</v>
      </c>
      <c r="D19" s="12" t="n">
        <f aca="false">B19-C19</f>
        <v>0</v>
      </c>
      <c r="E19" s="13" t="n">
        <f aca="false">IFERROR(B19/L2,0)</f>
        <v>0</v>
      </c>
      <c r="F19" s="14" t="n">
        <v>0</v>
      </c>
      <c r="G19" s="14" t="n">
        <v>0</v>
      </c>
      <c r="H19" s="14" t="n">
        <v>0</v>
      </c>
      <c r="I19" s="15" t="n">
        <f aca="false">IFERROR(C19/H19,0)</f>
        <v>0</v>
      </c>
      <c r="J19" s="16" t="n">
        <v>0</v>
      </c>
      <c r="K19" s="17" t="n">
        <f aca="false">IFERROR(J19/C19,0)</f>
        <v>0</v>
      </c>
      <c r="L19" s="18"/>
    </row>
    <row r="20" customFormat="false" ht="19.5" hidden="false" customHeight="true" outlineLevel="0" collapsed="false">
      <c r="A20" s="36" t="s">
        <v>33</v>
      </c>
      <c r="B20" s="20" t="n">
        <v>0</v>
      </c>
      <c r="C20" s="21" t="n">
        <v>0</v>
      </c>
      <c r="D20" s="22" t="n">
        <f aca="false">B20-C20</f>
        <v>0</v>
      </c>
      <c r="E20" s="23" t="n">
        <f aca="false">IFERROR(B20/L2,0)</f>
        <v>0</v>
      </c>
      <c r="F20" s="24" t="n">
        <v>0</v>
      </c>
      <c r="G20" s="24" t="n">
        <v>0</v>
      </c>
      <c r="H20" s="24" t="n">
        <v>0</v>
      </c>
      <c r="I20" s="25" t="n">
        <f aca="false">IFERROR(C20/H20,0)</f>
        <v>0</v>
      </c>
      <c r="J20" s="26" t="n">
        <v>0</v>
      </c>
      <c r="K20" s="27" t="n">
        <f aca="false">IFERROR(J20/C20,0)</f>
        <v>0</v>
      </c>
      <c r="L20" s="28"/>
    </row>
    <row r="21" customFormat="false" ht="19.5" hidden="false" customHeight="true" outlineLevel="0" collapsed="false">
      <c r="A21" s="35" t="s">
        <v>34</v>
      </c>
      <c r="B21" s="10" t="n">
        <v>0</v>
      </c>
      <c r="C21" s="11" t="n">
        <v>0</v>
      </c>
      <c r="D21" s="12" t="n">
        <f aca="false">B21-C21</f>
        <v>0</v>
      </c>
      <c r="E21" s="13" t="n">
        <f aca="false">IFERROR(B21/L2,0)</f>
        <v>0</v>
      </c>
      <c r="F21" s="14" t="n">
        <v>0</v>
      </c>
      <c r="G21" s="14" t="n">
        <v>0</v>
      </c>
      <c r="H21" s="14" t="n">
        <v>0</v>
      </c>
      <c r="I21" s="15" t="n">
        <f aca="false">IFERROR(C21/H21,0)</f>
        <v>0</v>
      </c>
      <c r="J21" s="16" t="n">
        <v>0</v>
      </c>
      <c r="K21" s="17" t="n">
        <f aca="false">IFERROR(J21/C21,0)</f>
        <v>0</v>
      </c>
      <c r="L21" s="18"/>
    </row>
    <row r="22" customFormat="false" ht="19.5" hidden="false" customHeight="true" outlineLevel="0" collapsed="false">
      <c r="A22" s="37" t="s">
        <v>35</v>
      </c>
      <c r="B22" s="38" t="n">
        <f aca="false">SUM(B15:B21)</f>
        <v>0</v>
      </c>
      <c r="C22" s="38" t="n">
        <f aca="false">SUM(C15:C21)</f>
        <v>0</v>
      </c>
      <c r="D22" s="38" t="n">
        <f aca="false">SUM(D15:D21)</f>
        <v>0</v>
      </c>
      <c r="E22" s="39" t="n">
        <f aca="false">IFERROR(B22/L2,0)</f>
        <v>0</v>
      </c>
      <c r="F22" s="40"/>
      <c r="G22" s="40"/>
      <c r="H22" s="40"/>
      <c r="I22" s="40"/>
      <c r="J22" s="38" t="n">
        <f aca="false">SUM(J15:J21)</f>
        <v>0</v>
      </c>
      <c r="K22" s="41" t="n">
        <f aca="false">IFERROR(J22/C22,0)</f>
        <v>0</v>
      </c>
      <c r="L22" s="40"/>
    </row>
    <row r="24" customFormat="false" ht="21.75" hidden="false" customHeight="true" outlineLevel="0" collapsed="false">
      <c r="A24" s="42" t="s">
        <v>36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customFormat="false" ht="19.5" hidden="false" customHeight="true" outlineLevel="0" collapsed="false">
      <c r="A25" s="43" t="s">
        <v>37</v>
      </c>
      <c r="B25" s="10" t="n">
        <v>0</v>
      </c>
      <c r="C25" s="11" t="n">
        <v>0</v>
      </c>
      <c r="D25" s="12" t="n">
        <f aca="false">B25-C25</f>
        <v>0</v>
      </c>
      <c r="E25" s="13" t="n">
        <f aca="false">IFERROR(B25/L2,0)</f>
        <v>0</v>
      </c>
      <c r="F25" s="14" t="n">
        <v>0</v>
      </c>
      <c r="G25" s="14" t="n">
        <v>0</v>
      </c>
      <c r="H25" s="14" t="n">
        <v>0</v>
      </c>
      <c r="I25" s="15" t="n">
        <f aca="false">IFERROR(C25/H25,0)</f>
        <v>0</v>
      </c>
      <c r="J25" s="16" t="n">
        <v>0</v>
      </c>
      <c r="K25" s="17" t="n">
        <f aca="false">IFERROR(J25/C25,0)</f>
        <v>0</v>
      </c>
      <c r="L25" s="18"/>
    </row>
    <row r="26" customFormat="false" ht="19.5" hidden="false" customHeight="true" outlineLevel="0" collapsed="false">
      <c r="A26" s="44" t="s">
        <v>38</v>
      </c>
      <c r="B26" s="20" t="n">
        <v>0</v>
      </c>
      <c r="C26" s="21" t="n">
        <v>0</v>
      </c>
      <c r="D26" s="22" t="n">
        <f aca="false">B26-C26</f>
        <v>0</v>
      </c>
      <c r="E26" s="23" t="n">
        <f aca="false">IFERROR(B26/L2,0)</f>
        <v>0</v>
      </c>
      <c r="F26" s="24" t="n">
        <v>0</v>
      </c>
      <c r="G26" s="24" t="n">
        <v>0</v>
      </c>
      <c r="H26" s="24" t="n">
        <v>0</v>
      </c>
      <c r="I26" s="25" t="n">
        <f aca="false">IFERROR(C26/H26,0)</f>
        <v>0</v>
      </c>
      <c r="J26" s="26" t="n">
        <v>0</v>
      </c>
      <c r="K26" s="27" t="n">
        <f aca="false">IFERROR(J26/C26,0)</f>
        <v>0</v>
      </c>
      <c r="L26" s="28"/>
    </row>
    <row r="27" customFormat="false" ht="19.5" hidden="false" customHeight="true" outlineLevel="0" collapsed="false">
      <c r="A27" s="43" t="s">
        <v>39</v>
      </c>
      <c r="B27" s="10" t="n">
        <v>0</v>
      </c>
      <c r="C27" s="11" t="n">
        <v>0</v>
      </c>
      <c r="D27" s="12" t="n">
        <f aca="false">B27-C27</f>
        <v>0</v>
      </c>
      <c r="E27" s="13" t="n">
        <f aca="false">IFERROR(B27/L2,0)</f>
        <v>0</v>
      </c>
      <c r="F27" s="14" t="n">
        <v>0</v>
      </c>
      <c r="G27" s="14" t="n">
        <v>0</v>
      </c>
      <c r="H27" s="14" t="n">
        <v>0</v>
      </c>
      <c r="I27" s="15" t="n">
        <f aca="false">IFERROR(C27/H27,0)</f>
        <v>0</v>
      </c>
      <c r="J27" s="16" t="n">
        <v>0</v>
      </c>
      <c r="K27" s="17" t="n">
        <f aca="false">IFERROR(J27/C27,0)</f>
        <v>0</v>
      </c>
      <c r="L27" s="18"/>
    </row>
    <row r="28" customFormat="false" ht="19.5" hidden="false" customHeight="true" outlineLevel="0" collapsed="false">
      <c r="A28" s="44" t="s">
        <v>40</v>
      </c>
      <c r="B28" s="20" t="n">
        <v>0</v>
      </c>
      <c r="C28" s="21" t="n">
        <v>0</v>
      </c>
      <c r="D28" s="22" t="n">
        <f aca="false">B28-C28</f>
        <v>0</v>
      </c>
      <c r="E28" s="23" t="n">
        <f aca="false">IFERROR(B28/L2,0)</f>
        <v>0</v>
      </c>
      <c r="F28" s="24" t="n">
        <v>0</v>
      </c>
      <c r="G28" s="24" t="n">
        <v>0</v>
      </c>
      <c r="H28" s="24" t="n">
        <v>0</v>
      </c>
      <c r="I28" s="25" t="n">
        <f aca="false">IFERROR(C28/H28,0)</f>
        <v>0</v>
      </c>
      <c r="J28" s="26" t="n">
        <v>0</v>
      </c>
      <c r="K28" s="27" t="n">
        <f aca="false">IFERROR(J28/C28,0)</f>
        <v>0</v>
      </c>
      <c r="L28" s="28"/>
    </row>
    <row r="29" customFormat="false" ht="19.5" hidden="false" customHeight="true" outlineLevel="0" collapsed="false">
      <c r="A29" s="43" t="s">
        <v>41</v>
      </c>
      <c r="B29" s="10" t="n">
        <v>0</v>
      </c>
      <c r="C29" s="11" t="n">
        <v>0</v>
      </c>
      <c r="D29" s="12" t="n">
        <f aca="false">B29-C29</f>
        <v>0</v>
      </c>
      <c r="E29" s="13" t="n">
        <f aca="false">IFERROR(B29/L2,0)</f>
        <v>0</v>
      </c>
      <c r="F29" s="14" t="n">
        <v>0</v>
      </c>
      <c r="G29" s="14" t="n">
        <v>0</v>
      </c>
      <c r="H29" s="14" t="n">
        <v>0</v>
      </c>
      <c r="I29" s="15" t="n">
        <f aca="false">IFERROR(C29/H29,0)</f>
        <v>0</v>
      </c>
      <c r="J29" s="16" t="n">
        <v>0</v>
      </c>
      <c r="K29" s="17" t="n">
        <f aca="false">IFERROR(J29/C29,0)</f>
        <v>0</v>
      </c>
      <c r="L29" s="18"/>
    </row>
    <row r="30" customFormat="false" ht="19.5" hidden="false" customHeight="true" outlineLevel="0" collapsed="false">
      <c r="A30" s="45" t="s">
        <v>42</v>
      </c>
      <c r="B30" s="46" t="n">
        <f aca="false">SUM(B25:B29)</f>
        <v>0</v>
      </c>
      <c r="C30" s="46" t="n">
        <f aca="false">SUM(C25:C29)</f>
        <v>0</v>
      </c>
      <c r="D30" s="46" t="n">
        <f aca="false">SUM(D25:D29)</f>
        <v>0</v>
      </c>
      <c r="E30" s="47" t="n">
        <f aca="false">IFERROR(B30/L2,0)</f>
        <v>0</v>
      </c>
      <c r="F30" s="48"/>
      <c r="G30" s="48"/>
      <c r="H30" s="48"/>
      <c r="I30" s="48"/>
      <c r="J30" s="46" t="n">
        <f aca="false">SUM(J25:J29)</f>
        <v>0</v>
      </c>
      <c r="K30" s="49" t="n">
        <f aca="false">IFERROR(J30/C30,0)</f>
        <v>0</v>
      </c>
      <c r="L30" s="48"/>
    </row>
    <row r="32" customFormat="false" ht="21.75" hidden="false" customHeight="true" outlineLevel="0" collapsed="false">
      <c r="A32" s="50" t="s">
        <v>43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</row>
    <row r="33" customFormat="false" ht="19.5" hidden="false" customHeight="true" outlineLevel="0" collapsed="false">
      <c r="A33" s="51" t="s">
        <v>44</v>
      </c>
      <c r="B33" s="10" t="n">
        <v>0</v>
      </c>
      <c r="C33" s="11" t="n">
        <v>0</v>
      </c>
      <c r="D33" s="12" t="n">
        <f aca="false">B33-C33</f>
        <v>0</v>
      </c>
      <c r="E33" s="13" t="n">
        <f aca="false">IFERROR(B33/L2,0)</f>
        <v>0</v>
      </c>
      <c r="F33" s="14" t="n">
        <v>0</v>
      </c>
      <c r="G33" s="14" t="n">
        <v>0</v>
      </c>
      <c r="H33" s="14" t="n">
        <v>0</v>
      </c>
      <c r="I33" s="15" t="n">
        <f aca="false">IFERROR(C33/H33,0)</f>
        <v>0</v>
      </c>
      <c r="J33" s="16" t="n">
        <v>0</v>
      </c>
      <c r="K33" s="17" t="n">
        <f aca="false">IFERROR(J33/C33,0)</f>
        <v>0</v>
      </c>
      <c r="L33" s="18"/>
    </row>
    <row r="34" customFormat="false" ht="19.5" hidden="false" customHeight="true" outlineLevel="0" collapsed="false">
      <c r="A34" s="52" t="s">
        <v>45</v>
      </c>
      <c r="B34" s="20" t="n">
        <v>0</v>
      </c>
      <c r="C34" s="21" t="n">
        <v>0</v>
      </c>
      <c r="D34" s="22" t="n">
        <f aca="false">B34-C34</f>
        <v>0</v>
      </c>
      <c r="E34" s="23" t="n">
        <f aca="false">IFERROR(B34/L2,0)</f>
        <v>0</v>
      </c>
      <c r="F34" s="24" t="n">
        <v>0</v>
      </c>
      <c r="G34" s="24" t="n">
        <v>0</v>
      </c>
      <c r="H34" s="24" t="n">
        <v>0</v>
      </c>
      <c r="I34" s="25" t="n">
        <f aca="false">IFERROR(C34/H34,0)</f>
        <v>0</v>
      </c>
      <c r="J34" s="26" t="n">
        <v>0</v>
      </c>
      <c r="K34" s="27" t="n">
        <f aca="false">IFERROR(J34/C34,0)</f>
        <v>0</v>
      </c>
      <c r="L34" s="28"/>
    </row>
    <row r="35" customFormat="false" ht="19.5" hidden="false" customHeight="true" outlineLevel="0" collapsed="false">
      <c r="A35" s="51" t="s">
        <v>46</v>
      </c>
      <c r="B35" s="10" t="n">
        <v>0</v>
      </c>
      <c r="C35" s="11" t="n">
        <v>0</v>
      </c>
      <c r="D35" s="12" t="n">
        <f aca="false">B35-C35</f>
        <v>0</v>
      </c>
      <c r="E35" s="13" t="n">
        <f aca="false">IFERROR(B35/L2,0)</f>
        <v>0</v>
      </c>
      <c r="F35" s="14" t="n">
        <v>0</v>
      </c>
      <c r="G35" s="14" t="n">
        <v>0</v>
      </c>
      <c r="H35" s="14" t="n">
        <v>0</v>
      </c>
      <c r="I35" s="15" t="n">
        <f aca="false">IFERROR(C35/H35,0)</f>
        <v>0</v>
      </c>
      <c r="J35" s="16" t="n">
        <v>0</v>
      </c>
      <c r="K35" s="17" t="n">
        <f aca="false">IFERROR(J35/C35,0)</f>
        <v>0</v>
      </c>
      <c r="L35" s="18"/>
    </row>
    <row r="36" customFormat="false" ht="19.5" hidden="false" customHeight="true" outlineLevel="0" collapsed="false">
      <c r="A36" s="52" t="s">
        <v>47</v>
      </c>
      <c r="B36" s="20" t="n">
        <v>0</v>
      </c>
      <c r="C36" s="21" t="n">
        <v>0</v>
      </c>
      <c r="D36" s="22" t="n">
        <f aca="false">B36-C36</f>
        <v>0</v>
      </c>
      <c r="E36" s="23" t="n">
        <f aca="false">IFERROR(B36/L2,0)</f>
        <v>0</v>
      </c>
      <c r="F36" s="24" t="n">
        <v>0</v>
      </c>
      <c r="G36" s="24" t="n">
        <v>0</v>
      </c>
      <c r="H36" s="24" t="n">
        <v>0</v>
      </c>
      <c r="I36" s="25" t="n">
        <f aca="false">IFERROR(C36/H36,0)</f>
        <v>0</v>
      </c>
      <c r="J36" s="26" t="n">
        <v>0</v>
      </c>
      <c r="K36" s="27" t="n">
        <f aca="false">IFERROR(J36/C36,0)</f>
        <v>0</v>
      </c>
      <c r="L36" s="28"/>
    </row>
    <row r="37" customFormat="false" ht="19.5" hidden="false" customHeight="true" outlineLevel="0" collapsed="false">
      <c r="A37" s="51" t="s">
        <v>48</v>
      </c>
      <c r="B37" s="10" t="n">
        <v>0</v>
      </c>
      <c r="C37" s="11" t="n">
        <v>0</v>
      </c>
      <c r="D37" s="12" t="n">
        <f aca="false">B37-C37</f>
        <v>0</v>
      </c>
      <c r="E37" s="13" t="n">
        <f aca="false">IFERROR(B37/L2,0)</f>
        <v>0</v>
      </c>
      <c r="F37" s="14" t="n">
        <v>0</v>
      </c>
      <c r="G37" s="14" t="n">
        <v>0</v>
      </c>
      <c r="H37" s="14" t="n">
        <v>0</v>
      </c>
      <c r="I37" s="15" t="n">
        <f aca="false">IFERROR(C37/H37,0)</f>
        <v>0</v>
      </c>
      <c r="J37" s="16" t="n">
        <v>0</v>
      </c>
      <c r="K37" s="17" t="n">
        <f aca="false">IFERROR(J37/C37,0)</f>
        <v>0</v>
      </c>
      <c r="L37" s="18"/>
    </row>
    <row r="38" customFormat="false" ht="19.5" hidden="false" customHeight="true" outlineLevel="0" collapsed="false">
      <c r="A38" s="53" t="s">
        <v>49</v>
      </c>
      <c r="B38" s="54" t="n">
        <f aca="false">SUM(B33:B37)</f>
        <v>0</v>
      </c>
      <c r="C38" s="54" t="n">
        <f aca="false">SUM(C33:C37)</f>
        <v>0</v>
      </c>
      <c r="D38" s="54" t="n">
        <f aca="false">SUM(D33:D37)</f>
        <v>0</v>
      </c>
      <c r="E38" s="55" t="n">
        <f aca="false">IFERROR(B38/L2,0)</f>
        <v>0</v>
      </c>
      <c r="F38" s="56"/>
      <c r="G38" s="56"/>
      <c r="H38" s="56"/>
      <c r="I38" s="56"/>
      <c r="J38" s="54" t="n">
        <f aca="false">SUM(J33:J37)</f>
        <v>0</v>
      </c>
      <c r="K38" s="57" t="n">
        <f aca="false">IFERROR(J38/C38,0)</f>
        <v>0</v>
      </c>
      <c r="L38" s="56"/>
    </row>
    <row r="40" customFormat="false" ht="25.5" hidden="false" customHeight="true" outlineLevel="0" collapsed="false">
      <c r="A40" s="58" t="s">
        <v>50</v>
      </c>
      <c r="B40" s="59" t="n">
        <f aca="false">SUM(B4:B39)</f>
        <v>0</v>
      </c>
      <c r="C40" s="59" t="n">
        <f aca="false">SUM(C4:C39)</f>
        <v>0</v>
      </c>
      <c r="D40" s="60" t="n">
        <f aca="false">B40-C40</f>
        <v>0</v>
      </c>
      <c r="E40" s="61" t="n">
        <f aca="false">IFERROR(B40/L2,0)</f>
        <v>0</v>
      </c>
      <c r="F40" s="62"/>
      <c r="G40" s="62"/>
      <c r="H40" s="62"/>
      <c r="I40" s="62"/>
      <c r="J40" s="59" t="n">
        <f aca="false">SUM(J4:J39)</f>
        <v>0</v>
      </c>
      <c r="K40" s="63" t="n">
        <f aca="false">IFERROR(J40/C40,0)</f>
        <v>0</v>
      </c>
      <c r="L40" s="62"/>
    </row>
  </sheetData>
  <mergeCells count="9">
    <mergeCell ref="A1:L1"/>
    <mergeCell ref="A2:B2"/>
    <mergeCell ref="C2:D2"/>
    <mergeCell ref="F2:G2"/>
    <mergeCell ref="I2:J2"/>
    <mergeCell ref="A4:L4"/>
    <mergeCell ref="A14:L14"/>
    <mergeCell ref="A24:L24"/>
    <mergeCell ref="A32:L32"/>
  </mergeCells>
  <conditionalFormatting sqref="K4:K40">
    <cfRule type="cellIs" priority="2" operator="greaterThanOrEqual" aboveAverage="0" equalAverage="0" bottom="0" percent="0" rank="0" text="" dxfId="0">
      <formula>3</formula>
    </cfRule>
    <cfRule type="cellIs" priority="3" operator="between" aboveAverage="0" equalAverage="0" bottom="0" percent="0" rank="0" text="" dxfId="1">
      <formula>1</formula>
      <formula>2.9999</formula>
    </cfRule>
    <cfRule type="cellIs" priority="4" operator="lessThan" aboveAverage="0" equalAverage="0" bottom="0" percent="0" rank="0" text="" dxfId="2">
      <formula>1</formula>
    </cfRule>
  </conditionalFormatting>
  <conditionalFormatting sqref="D4:D40">
    <cfRule type="cellIs" priority="5" operator="greaterThan" aboveAverage="0" equalAverage="0" bottom="0" percent="0" rank="0" text="" dxfId="3">
      <formula>0</formula>
    </cfRule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52</v>
      </c>
      <c r="B2" s="2"/>
      <c r="C2" s="64" t="n">
        <f aca="false">'Monthly Budget'!L2</f>
        <v>0</v>
      </c>
      <c r="D2" s="64"/>
      <c r="E2" s="3"/>
      <c r="F2" s="3"/>
    </row>
    <row r="3" customFormat="false" ht="19.5" hidden="false" customHeight="true" outlineLevel="0" collapsed="false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</row>
    <row r="4" customFormat="false" ht="19.5" hidden="false" customHeight="true" outlineLevel="0" collapsed="false">
      <c r="A4" s="65" t="s">
        <v>59</v>
      </c>
      <c r="B4" s="66" t="n">
        <f aca="false">'Monthly Budget'!B12</f>
        <v>0</v>
      </c>
      <c r="C4" s="66" t="n">
        <f aca="false">'Monthly Budget'!C12</f>
        <v>0</v>
      </c>
      <c r="D4" s="66" t="n">
        <f aca="false">'Monthly Budget'!D12</f>
        <v>0</v>
      </c>
      <c r="E4" s="67" t="n">
        <f aca="false">'Monthly Budget'!E12</f>
        <v>0</v>
      </c>
      <c r="F4" s="68" t="n">
        <f aca="false">'Monthly Budget'!K12</f>
        <v>0</v>
      </c>
    </row>
    <row r="5" customFormat="false" ht="19.5" hidden="false" customHeight="true" outlineLevel="0" collapsed="false">
      <c r="A5" s="69" t="s">
        <v>60</v>
      </c>
      <c r="B5" s="70" t="n">
        <f aca="false">'Monthly Budget'!B21</f>
        <v>0</v>
      </c>
      <c r="C5" s="70" t="n">
        <f aca="false">'Monthly Budget'!C21</f>
        <v>0</v>
      </c>
      <c r="D5" s="70" t="n">
        <f aca="false">'Monthly Budget'!D21</f>
        <v>0</v>
      </c>
      <c r="E5" s="71" t="n">
        <f aca="false">'Monthly Budget'!E21</f>
        <v>0</v>
      </c>
      <c r="F5" s="72" t="n">
        <f aca="false">'Monthly Budget'!K21</f>
        <v>0</v>
      </c>
    </row>
    <row r="6" customFormat="false" ht="19.5" hidden="false" customHeight="true" outlineLevel="0" collapsed="false">
      <c r="A6" s="73" t="s">
        <v>61</v>
      </c>
      <c r="B6" s="74" t="n">
        <f aca="false">'Monthly Budget'!B28</f>
        <v>0</v>
      </c>
      <c r="C6" s="74" t="n">
        <f aca="false">'Monthly Budget'!C28</f>
        <v>0</v>
      </c>
      <c r="D6" s="74" t="n">
        <f aca="false">'Monthly Budget'!D28</f>
        <v>0</v>
      </c>
      <c r="E6" s="75" t="n">
        <f aca="false">'Monthly Budget'!E28</f>
        <v>0</v>
      </c>
      <c r="F6" s="76" t="n">
        <f aca="false">'Monthly Budget'!K28</f>
        <v>0</v>
      </c>
    </row>
    <row r="7" customFormat="false" ht="19.5" hidden="false" customHeight="true" outlineLevel="0" collapsed="false">
      <c r="A7" s="77" t="s">
        <v>62</v>
      </c>
      <c r="B7" s="78" t="n">
        <f aca="false">'Monthly Budget'!B35</f>
        <v>0</v>
      </c>
      <c r="C7" s="78" t="n">
        <f aca="false">'Monthly Budget'!C35</f>
        <v>0</v>
      </c>
      <c r="D7" s="78" t="n">
        <f aca="false">'Monthly Budget'!D35</f>
        <v>0</v>
      </c>
      <c r="E7" s="79" t="n">
        <f aca="false">'Monthly Budget'!E35</f>
        <v>0</v>
      </c>
      <c r="F7" s="80" t="n">
        <f aca="false">'Monthly Budget'!K35</f>
        <v>0</v>
      </c>
    </row>
    <row r="8" customFormat="false" ht="19.5" hidden="false" customHeight="true" outlineLevel="0" collapsed="false">
      <c r="A8" s="5" t="s">
        <v>63</v>
      </c>
      <c r="B8" s="59" t="n">
        <f aca="false">'Monthly Budget'!B40</f>
        <v>0</v>
      </c>
      <c r="C8" s="59" t="n">
        <f aca="false">'Monthly Budget'!C40</f>
        <v>0</v>
      </c>
      <c r="D8" s="59" t="n">
        <f aca="false">'Monthly Budget'!D40</f>
        <v>0</v>
      </c>
      <c r="E8" s="61" t="n">
        <f aca="false">'Monthly Budget'!E40</f>
        <v>0</v>
      </c>
      <c r="F8" s="63" t="n">
        <f aca="false">'Monthly Budget'!K40</f>
        <v>0</v>
      </c>
    </row>
  </sheetData>
  <mergeCells count="4">
    <mergeCell ref="A1:F1"/>
    <mergeCell ref="A2:B2"/>
    <mergeCell ref="C2:D2"/>
    <mergeCell ref="E2:F2"/>
  </mergeCells>
  <conditionalFormatting sqref="F4">
    <cfRule type="cellIs" priority="2" operator="greaterThanOrEqual" aboveAverage="0" equalAverage="0" bottom="0" percent="0" rank="0" text="" dxfId="0">
      <formula>3</formula>
    </cfRule>
    <cfRule type="cellIs" priority="3" operator="lessThan" aboveAverage="0" equalAverage="0" bottom="0" percent="0" rank="0" text="" dxfId="2">
      <formula>1</formula>
    </cfRule>
  </conditionalFormatting>
  <conditionalFormatting sqref="F5">
    <cfRule type="cellIs" priority="4" operator="greaterThanOrEqual" aboveAverage="0" equalAverage="0" bottom="0" percent="0" rank="0" text="" dxfId="0">
      <formula>3</formula>
    </cfRule>
    <cfRule type="cellIs" priority="5" operator="lessThan" aboveAverage="0" equalAverage="0" bottom="0" percent="0" rank="0" text="" dxfId="2">
      <formula>1</formula>
    </cfRule>
  </conditionalFormatting>
  <conditionalFormatting sqref="F6">
    <cfRule type="cellIs" priority="6" operator="greaterThanOrEqual" aboveAverage="0" equalAverage="0" bottom="0" percent="0" rank="0" text="" dxfId="0">
      <formula>3</formula>
    </cfRule>
    <cfRule type="cellIs" priority="7" operator="lessThan" aboveAverage="0" equalAverage="0" bottom="0" percent="0" rank="0" text="" dxfId="2">
      <formula>1</formula>
    </cfRule>
  </conditionalFormatting>
  <conditionalFormatting sqref="F7">
    <cfRule type="cellIs" priority="8" operator="greaterThanOrEqual" aboveAverage="0" equalAverage="0" bottom="0" percent="0" rank="0" text="" dxfId="0">
      <formula>3</formula>
    </cfRule>
    <cfRule type="cellIs" priority="9" operator="lessThan" aboveAverage="0" equalAverage="0" bottom="0" percent="0" rank="0" text="" dxfId="2">
      <formula>1</formula>
    </cfRule>
  </conditionalFormatting>
  <conditionalFormatting sqref="F8">
    <cfRule type="cellIs" priority="10" operator="greaterThanOrEqual" aboveAverage="0" equalAverage="0" bottom="0" percent="0" rank="0" text="" dxfId="0">
      <formula>3</formula>
    </cfRule>
    <cfRule type="cellIs" priority="11" operator="lessThan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2026-04-17T06:38:34Z</dcterms:created>
  <dc:creator>openpyxl</dc:creator>
  <dc:description/>
  <dc:language>en-US</dc:language>
  <cp:lastModifiedBy/>
  <dcterms:modified xsi:type="dcterms:W3CDTF">2026-04-17T06:38:34Z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