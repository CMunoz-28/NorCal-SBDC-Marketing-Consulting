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sion Log" sheetId="1" state="visible" r:id="rId3"/>
    <sheet name="Monthly Summary" sheetId="2" state="visible" r:id="rId4"/>
    <sheet name="Clien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<sst xmlns="http://schemas.openxmlformats.org/spreadsheetml/2006/main" count="104" uniqueCount="50">
  <si>
    <t xml:space="preserve">ADVISOR HOURS &amp; SESSION LOG  |  NorCal SBDC</t>
  </si>
  <si>
    <t xml:space="preserve">Advisor Name:</t>
  </si>
  <si>
    <t xml:space="preserve">Year:</t>
  </si>
  <si>
    <t xml:space="preserve">SBDC Center:</t>
  </si>
  <si>
    <t xml:space="preserve">NorCal SBDC / Cal Poly Humboldt</t>
  </si>
  <si>
    <t xml:space="preserve">Goal Hrs/Mo:</t>
  </si>
  <si>
    <t xml:space="preserve">#</t>
  </si>
  <si>
    <t xml:space="preserve">Date</t>
  </si>
  <si>
    <t xml:space="preserve">Client Name</t>
  </si>
  <si>
    <t xml:space="preserve">Business Name</t>
  </si>
  <si>
    <t xml:space="preserve">Session Type</t>
  </si>
  <si>
    <t xml:space="preserve">Topic(s)</t>
  </si>
  <si>
    <t xml:space="preserve">Duration (hrs)</t>
  </si>
  <si>
    <t xml:space="preserve">Neoserra Logged?</t>
  </si>
  <si>
    <t xml:space="preserve">Outcome</t>
  </si>
  <si>
    <t xml:space="preserve">Follow-Up Date</t>
  </si>
  <si>
    <t xml:space="preserve">Notes</t>
  </si>
  <si>
    <t xml:space="preserve">No</t>
  </si>
  <si>
    <t xml:space="preserve">TOTAL HOURS LOGGED</t>
  </si>
  <si>
    <t xml:space="preserve">MONTHLY HOURS SUMMARY  |  NorCal SBDC</t>
  </si>
  <si>
    <t xml:space="preserve">Advisor:</t>
  </si>
  <si>
    <t xml:space="preserve">Monthly Goal (hrs):</t>
  </si>
  <si>
    <t xml:space="preserve">Month</t>
  </si>
  <si>
    <t xml:space="preserve">Sessions</t>
  </si>
  <si>
    <t xml:space="preserve">Total Hrs</t>
  </si>
  <si>
    <t xml:space="preserve">Avg Hrs/Session</t>
  </si>
  <si>
    <t xml:space="preserve">Goal (hrs)</t>
  </si>
  <si>
    <t xml:space="preserve">vs Goal</t>
  </si>
  <si>
    <t xml:space="preserve">% of Goal</t>
  </si>
  <si>
    <t xml:space="preserve">Status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</si>
  <si>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</si>
  <si>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</si>
  <si>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</si>
  <si>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</si>
  <si>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</si>
  <si>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</si>
  <si>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</si>
  <si>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</si>
  <si>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</si>
  <si>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</si>
  <si>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</si>
  <si>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</si>
  <si>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FULL YEAR</t>
  </si>
  <si>
    <t xml:space="preserve">Year Total</t>
  </si>
  <si>
    <t xml:space="preserve">CLIENT HOURS SUMMARY  |  NorCal SBDC</t>
  </si>
  <si>
    <t xml:space="preserve">Enter client names below to see total hours per client. Names must match Session Log exactly.</t>
  </si>
  <si>
    <t xml:space="preserve">Last Session</t>
  </si>
  <si>
    <t xml:space="preserve">Most Recent Topic</t>
  </si>
  <si>
    <t xml:space="preserve">TOTALS</t>
  </si>
  <si>
    <t xml:space="preserve">Total across all clients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</si>
</sst>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mm/dd/yyyy"/>
    <numFmt numFmtId="167" formatCode="0.0"/>
    <numFmt numFmtId="168" formatCode="General"/>
    <numFmt numFmtId="169" formatCode="0%"/>
    <numFmt numFmtId="170" formatCode="mm/dd/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E7D8C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sz val="10"/>
      <color rgb="FF666666"/>
      <name val="Arial"/>
      <family val="0"/>
      <charset val="1"/>
    </font>
    <font>
      <sz val="9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EF1"/>
        <bgColor rgb="FFD4EDDA"/>
      </patternFill>
    </fill>
    <fill>
      <patternFill patternType="solid">
        <fgColor rgb="FFFFFFFF"/>
        <bgColor rgb="FFF5F5F5"/>
      </patternFill>
    </fill>
    <fill>
      <patternFill patternType="solid">
        <fgColor rgb="FF2E7D8C"/>
        <bgColor rgb="FF008080"/>
      </patternFill>
    </fill>
    <fill>
      <patternFill patternType="solid">
        <fgColor rgb="FFF5F5F5"/>
        <bgColor rgb="FFFDF3E0"/>
      </patternFill>
    </fill>
    <fill>
      <patternFill patternType="solid">
        <fgColor rgb="FFFDF3E0"/>
        <bgColor rgb="FFFFF3CD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1B3A5C"/>
      </left>
      <right/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1B3A5C"/>
      </left>
      <right/>
      <top style="medium">
        <color rgb="FF1B3A5C"/>
      </top>
      <bottom style="medium">
        <color rgb="FF1B3A5C"/>
      </bottom>
      <diagonal/>
    </border>
    <border diagonalUp="false" diagonalDown="false"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 diagonalUp="false" diagonalDown="false">
      <left style="thin">
        <color rgb="FFE8A020"/>
      </left>
      <right/>
      <top style="thin">
        <color rgb="FFE8A020"/>
      </top>
      <bottom style="thin">
        <color rgb="FFE8A0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1E7E3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8B6010"/>
        <sz val="9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8B0000"/>
        <sz val="9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1E7E34"/>
        <sz val="10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2E7D8C"/>
        <sz val="10"/>
      </font>
      <fill>
        <patternFill>
          <bgColor rgb="FFD6EEF1"/>
        </patternFill>
      </fill>
    </dxf>
    <dxf>
      <font>
        <name val="Arial"/>
        <charset val="1"/>
        <family val="0"/>
        <b val="1"/>
        <color rgb="FF8B6010"/>
        <sz val="10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8B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B6010"/>
      <rgbColor rgb="FF800080"/>
      <rgbColor rgb="FF008080"/>
      <rgbColor rgb="FFC0C0C0"/>
      <rgbColor rgb="FF808080"/>
      <rgbColor rgb="FF9999FF"/>
      <rgbColor rgb="FF993366"/>
      <rgbColor rgb="FFFFF3CD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DF3E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8A020"/>
      <rgbColor rgb="FFFF6600"/>
      <rgbColor rgb="FF666666"/>
      <rgbColor rgb="FF969696"/>
      <rgbColor rgb="FF1B3A5C"/>
      <rgbColor rgb="FF2E7D8C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3"/>
      <c r="D2" s="3"/>
      <c r="E2" s="4" t="s">
        <v>2</v>
      </c>
      <c r="F2" s="5"/>
      <c r="G2" s="4" t="s">
        <v>3</v>
      </c>
      <c r="H2" s="3" t="s">
        <v>4</v>
      </c>
      <c r="I2" s="3"/>
      <c r="J2" s="4" t="s">
        <v>5</v>
      </c>
      <c r="K2" s="6" t="n">
        <v>0</v>
      </c>
    </row>
    <row r="3" customFormat="false" ht="24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</row>
    <row r="4" customFormat="false" ht="19.5" hidden="false" customHeight="true" outlineLevel="0" collapsed="false">
      <c r="A4" s="8" t="n">
        <v>1</v>
      </c>
      <c r="B4" s="9"/>
      <c r="C4" s="10"/>
      <c r="D4" s="10"/>
      <c r="E4" s="11"/>
      <c r="F4" s="10"/>
      <c r="G4" s="12" t="n">
        <v>0</v>
      </c>
      <c r="H4" s="13" t="s">
        <v>17</v>
      </c>
      <c r="I4" s="11"/>
      <c r="J4" s="9"/>
      <c r="K4" s="14"/>
    </row>
    <row r="5" customFormat="false" ht="19.5" hidden="false" customHeight="true" outlineLevel="0" collapsed="false">
      <c r="A5" s="15" t="n">
        <v>2</v>
      </c>
      <c r="B5" s="16"/>
      <c r="C5" s="17"/>
      <c r="D5" s="17"/>
      <c r="E5" s="18"/>
      <c r="F5" s="17"/>
      <c r="G5" s="19" t="n">
        <v>0</v>
      </c>
      <c r="H5" s="20" t="s">
        <v>17</v>
      </c>
      <c r="I5" s="18"/>
      <c r="J5" s="16"/>
      <c r="K5" s="21"/>
    </row>
    <row r="6" customFormat="false" ht="19.5" hidden="false" customHeight="true" outlineLevel="0" collapsed="false">
      <c r="A6" s="8" t="n">
        <v>3</v>
      </c>
      <c r="B6" s="9"/>
      <c r="C6" s="10"/>
      <c r="D6" s="10"/>
      <c r="E6" s="11"/>
      <c r="F6" s="10"/>
      <c r="G6" s="12" t="n">
        <v>0</v>
      </c>
      <c r="H6" s="13" t="s">
        <v>17</v>
      </c>
      <c r="I6" s="11"/>
      <c r="J6" s="9"/>
      <c r="K6" s="14"/>
    </row>
    <row r="7" customFormat="false" ht="19.5" hidden="false" customHeight="true" outlineLevel="0" collapsed="false">
      <c r="A7" s="15" t="n">
        <v>4</v>
      </c>
      <c r="B7" s="16"/>
      <c r="C7" s="17"/>
      <c r="D7" s="17"/>
      <c r="E7" s="18"/>
      <c r="F7" s="17"/>
      <c r="G7" s="19" t="n">
        <v>0</v>
      </c>
      <c r="H7" s="20" t="s">
        <v>17</v>
      </c>
      <c r="I7" s="18"/>
      <c r="J7" s="16"/>
      <c r="K7" s="21"/>
    </row>
    <row r="8" customFormat="false" ht="19.5" hidden="false" customHeight="true" outlineLevel="0" collapsed="false">
      <c r="A8" s="8" t="n">
        <v>5</v>
      </c>
      <c r="B8" s="9"/>
      <c r="C8" s="10"/>
      <c r="D8" s="10"/>
      <c r="E8" s="11"/>
      <c r="F8" s="10"/>
      <c r="G8" s="12" t="n">
        <v>0</v>
      </c>
      <c r="H8" s="13" t="s">
        <v>17</v>
      </c>
      <c r="I8" s="11"/>
      <c r="J8" s="9"/>
      <c r="K8" s="14"/>
    </row>
    <row r="9" customFormat="false" ht="19.5" hidden="false" customHeight="true" outlineLevel="0" collapsed="false">
      <c r="A9" s="15" t="n">
        <v>6</v>
      </c>
      <c r="B9" s="16"/>
      <c r="C9" s="17"/>
      <c r="D9" s="17"/>
      <c r="E9" s="18"/>
      <c r="F9" s="17"/>
      <c r="G9" s="19" t="n">
        <v>0</v>
      </c>
      <c r="H9" s="20" t="s">
        <v>17</v>
      </c>
      <c r="I9" s="18"/>
      <c r="J9" s="16"/>
      <c r="K9" s="21"/>
    </row>
    <row r="10" customFormat="false" ht="19.5" hidden="false" customHeight="true" outlineLevel="0" collapsed="false">
      <c r="A10" s="8" t="n">
        <v>7</v>
      </c>
      <c r="B10" s="9"/>
      <c r="C10" s="10"/>
      <c r="D10" s="10"/>
      <c r="E10" s="11"/>
      <c r="F10" s="10"/>
      <c r="G10" s="12" t="n">
        <v>0</v>
      </c>
      <c r="H10" s="13" t="s">
        <v>17</v>
      </c>
      <c r="I10" s="11"/>
      <c r="J10" s="9"/>
      <c r="K10" s="14"/>
    </row>
    <row r="11" customFormat="false" ht="19.5" hidden="false" customHeight="true" outlineLevel="0" collapsed="false">
      <c r="A11" s="15" t="n">
        <v>8</v>
      </c>
      <c r="B11" s="16"/>
      <c r="C11" s="17"/>
      <c r="D11" s="17"/>
      <c r="E11" s="18"/>
      <c r="F11" s="17"/>
      <c r="G11" s="19" t="n">
        <v>0</v>
      </c>
      <c r="H11" s="20" t="s">
        <v>17</v>
      </c>
      <c r="I11" s="18"/>
      <c r="J11" s="16"/>
      <c r="K11" s="21"/>
    </row>
    <row r="12" customFormat="false" ht="19.5" hidden="false" customHeight="true" outlineLevel="0" collapsed="false">
      <c r="A12" s="8" t="n">
        <v>9</v>
      </c>
      <c r="B12" s="9"/>
      <c r="C12" s="10"/>
      <c r="D12" s="10"/>
      <c r="E12" s="11"/>
      <c r="F12" s="10"/>
      <c r="G12" s="12" t="n">
        <v>0</v>
      </c>
      <c r="H12" s="13" t="s">
        <v>17</v>
      </c>
      <c r="I12" s="11"/>
      <c r="J12" s="9"/>
      <c r="K12" s="14"/>
    </row>
    <row r="13" customFormat="false" ht="19.5" hidden="false" customHeight="true" outlineLevel="0" collapsed="false">
      <c r="A13" s="15" t="n">
        <v>10</v>
      </c>
      <c r="B13" s="16"/>
      <c r="C13" s="17"/>
      <c r="D13" s="17"/>
      <c r="E13" s="18"/>
      <c r="F13" s="17"/>
      <c r="G13" s="19" t="n">
        <v>0</v>
      </c>
      <c r="H13" s="20" t="s">
        <v>17</v>
      </c>
      <c r="I13" s="18"/>
      <c r="J13" s="16"/>
      <c r="K13" s="21"/>
    </row>
    <row r="14" customFormat="false" ht="19.5" hidden="false" customHeight="true" outlineLevel="0" collapsed="false">
      <c r="A14" s="8" t="n">
        <v>11</v>
      </c>
      <c r="B14" s="9"/>
      <c r="C14" s="10"/>
      <c r="D14" s="10"/>
      <c r="E14" s="11"/>
      <c r="F14" s="10"/>
      <c r="G14" s="12" t="n">
        <v>0</v>
      </c>
      <c r="H14" s="13" t="s">
        <v>17</v>
      </c>
      <c r="I14" s="11"/>
      <c r="J14" s="9"/>
      <c r="K14" s="14"/>
    </row>
    <row r="15" customFormat="false" ht="19.5" hidden="false" customHeight="true" outlineLevel="0" collapsed="false">
      <c r="A15" s="15" t="n">
        <v>12</v>
      </c>
      <c r="B15" s="16"/>
      <c r="C15" s="17"/>
      <c r="D15" s="17"/>
      <c r="E15" s="18"/>
      <c r="F15" s="17"/>
      <c r="G15" s="19" t="n">
        <v>0</v>
      </c>
      <c r="H15" s="20" t="s">
        <v>17</v>
      </c>
      <c r="I15" s="18"/>
      <c r="J15" s="16"/>
      <c r="K15" s="21"/>
    </row>
    <row r="16" customFormat="false" ht="19.5" hidden="false" customHeight="true" outlineLevel="0" collapsed="false">
      <c r="A16" s="8" t="n">
        <v>13</v>
      </c>
      <c r="B16" s="9"/>
      <c r="C16" s="10"/>
      <c r="D16" s="10"/>
      <c r="E16" s="11"/>
      <c r="F16" s="10"/>
      <c r="G16" s="12" t="n">
        <v>0</v>
      </c>
      <c r="H16" s="13" t="s">
        <v>17</v>
      </c>
      <c r="I16" s="11"/>
      <c r="J16" s="9"/>
      <c r="K16" s="14"/>
    </row>
    <row r="17" customFormat="false" ht="19.5" hidden="false" customHeight="true" outlineLevel="0" collapsed="false">
      <c r="A17" s="15" t="n">
        <v>14</v>
      </c>
      <c r="B17" s="16"/>
      <c r="C17" s="17"/>
      <c r="D17" s="17"/>
      <c r="E17" s="18"/>
      <c r="F17" s="17"/>
      <c r="G17" s="19" t="n">
        <v>0</v>
      </c>
      <c r="H17" s="20" t="s">
        <v>17</v>
      </c>
      <c r="I17" s="18"/>
      <c r="J17" s="16"/>
      <c r="K17" s="21"/>
    </row>
    <row r="18" customFormat="false" ht="19.5" hidden="false" customHeight="true" outlineLevel="0" collapsed="false">
      <c r="A18" s="8" t="n">
        <v>15</v>
      </c>
      <c r="B18" s="9"/>
      <c r="C18" s="10"/>
      <c r="D18" s="10"/>
      <c r="E18" s="11"/>
      <c r="F18" s="10"/>
      <c r="G18" s="12" t="n">
        <v>0</v>
      </c>
      <c r="H18" s="13" t="s">
        <v>17</v>
      </c>
      <c r="I18" s="11"/>
      <c r="J18" s="9"/>
      <c r="K18" s="14"/>
    </row>
    <row r="19" customFormat="false" ht="19.5" hidden="false" customHeight="true" outlineLevel="0" collapsed="false">
      <c r="A19" s="15" t="n">
        <v>16</v>
      </c>
      <c r="B19" s="16"/>
      <c r="C19" s="17"/>
      <c r="D19" s="17"/>
      <c r="E19" s="18"/>
      <c r="F19" s="17"/>
      <c r="G19" s="19" t="n">
        <v>0</v>
      </c>
      <c r="H19" s="20" t="s">
        <v>17</v>
      </c>
      <c r="I19" s="18"/>
      <c r="J19" s="16"/>
      <c r="K19" s="21"/>
    </row>
    <row r="20" customFormat="false" ht="19.5" hidden="false" customHeight="true" outlineLevel="0" collapsed="false">
      <c r="A20" s="8" t="n">
        <v>17</v>
      </c>
      <c r="B20" s="9"/>
      <c r="C20" s="10"/>
      <c r="D20" s="10"/>
      <c r="E20" s="11"/>
      <c r="F20" s="10"/>
      <c r="G20" s="12" t="n">
        <v>0</v>
      </c>
      <c r="H20" s="13" t="s">
        <v>17</v>
      </c>
      <c r="I20" s="11"/>
      <c r="J20" s="9"/>
      <c r="K20" s="14"/>
    </row>
    <row r="21" customFormat="false" ht="19.5" hidden="false" customHeight="true" outlineLevel="0" collapsed="false">
      <c r="A21" s="15" t="n">
        <v>18</v>
      </c>
      <c r="B21" s="16"/>
      <c r="C21" s="17"/>
      <c r="D21" s="17"/>
      <c r="E21" s="18"/>
      <c r="F21" s="17"/>
      <c r="G21" s="19" t="n">
        <v>0</v>
      </c>
      <c r="H21" s="20" t="s">
        <v>17</v>
      </c>
      <c r="I21" s="18"/>
      <c r="J21" s="16"/>
      <c r="K21" s="21"/>
    </row>
    <row r="22" customFormat="false" ht="19.5" hidden="false" customHeight="true" outlineLevel="0" collapsed="false">
      <c r="A22" s="8" t="n">
        <v>19</v>
      </c>
      <c r="B22" s="9"/>
      <c r="C22" s="10"/>
      <c r="D22" s="10"/>
      <c r="E22" s="11"/>
      <c r="F22" s="10"/>
      <c r="G22" s="12" t="n">
        <v>0</v>
      </c>
      <c r="H22" s="13" t="s">
        <v>17</v>
      </c>
      <c r="I22" s="11"/>
      <c r="J22" s="9"/>
      <c r="K22" s="14"/>
    </row>
    <row r="23" customFormat="false" ht="19.5" hidden="false" customHeight="true" outlineLevel="0" collapsed="false">
      <c r="A23" s="15" t="n">
        <v>20</v>
      </c>
      <c r="B23" s="16"/>
      <c r="C23" s="17"/>
      <c r="D23" s="17"/>
      <c r="E23" s="18"/>
      <c r="F23" s="17"/>
      <c r="G23" s="19" t="n">
        <v>0</v>
      </c>
      <c r="H23" s="20" t="s">
        <v>17</v>
      </c>
      <c r="I23" s="18"/>
      <c r="J23" s="16"/>
      <c r="K23" s="21"/>
    </row>
    <row r="24" customFormat="false" ht="19.5" hidden="false" customHeight="true" outlineLevel="0" collapsed="false">
      <c r="A24" s="8" t="n">
        <v>21</v>
      </c>
      <c r="B24" s="9"/>
      <c r="C24" s="10"/>
      <c r="D24" s="10"/>
      <c r="E24" s="11"/>
      <c r="F24" s="10"/>
      <c r="G24" s="12" t="n">
        <v>0</v>
      </c>
      <c r="H24" s="13" t="s">
        <v>17</v>
      </c>
      <c r="I24" s="11"/>
      <c r="J24" s="9"/>
      <c r="K24" s="14"/>
    </row>
    <row r="25" customFormat="false" ht="19.5" hidden="false" customHeight="true" outlineLevel="0" collapsed="false">
      <c r="A25" s="15" t="n">
        <v>22</v>
      </c>
      <c r="B25" s="16"/>
      <c r="C25" s="17"/>
      <c r="D25" s="17"/>
      <c r="E25" s="18"/>
      <c r="F25" s="17"/>
      <c r="G25" s="19" t="n">
        <v>0</v>
      </c>
      <c r="H25" s="20" t="s">
        <v>17</v>
      </c>
      <c r="I25" s="18"/>
      <c r="J25" s="16"/>
      <c r="K25" s="21"/>
    </row>
    <row r="26" customFormat="false" ht="19.5" hidden="false" customHeight="true" outlineLevel="0" collapsed="false">
      <c r="A26" s="8" t="n">
        <v>23</v>
      </c>
      <c r="B26" s="9"/>
      <c r="C26" s="10"/>
      <c r="D26" s="10"/>
      <c r="E26" s="11"/>
      <c r="F26" s="10"/>
      <c r="G26" s="12" t="n">
        <v>0</v>
      </c>
      <c r="H26" s="13" t="s">
        <v>17</v>
      </c>
      <c r="I26" s="11"/>
      <c r="J26" s="9"/>
      <c r="K26" s="14"/>
    </row>
    <row r="27" customFormat="false" ht="19.5" hidden="false" customHeight="true" outlineLevel="0" collapsed="false">
      <c r="A27" s="15" t="n">
        <v>24</v>
      </c>
      <c r="B27" s="16"/>
      <c r="C27" s="17"/>
      <c r="D27" s="17"/>
      <c r="E27" s="18"/>
      <c r="F27" s="17"/>
      <c r="G27" s="19" t="n">
        <v>0</v>
      </c>
      <c r="H27" s="20" t="s">
        <v>17</v>
      </c>
      <c r="I27" s="18"/>
      <c r="J27" s="16"/>
      <c r="K27" s="21"/>
    </row>
    <row r="28" customFormat="false" ht="19.5" hidden="false" customHeight="true" outlineLevel="0" collapsed="false">
      <c r="A28" s="8" t="n">
        <v>25</v>
      </c>
      <c r="B28" s="9"/>
      <c r="C28" s="10"/>
      <c r="D28" s="10"/>
      <c r="E28" s="11"/>
      <c r="F28" s="10"/>
      <c r="G28" s="12" t="n">
        <v>0</v>
      </c>
      <c r="H28" s="13" t="s">
        <v>17</v>
      </c>
      <c r="I28" s="11"/>
      <c r="J28" s="9"/>
      <c r="K28" s="14"/>
    </row>
    <row r="29" customFormat="false" ht="19.5" hidden="false" customHeight="true" outlineLevel="0" collapsed="false">
      <c r="A29" s="15" t="n">
        <v>26</v>
      </c>
      <c r="B29" s="16"/>
      <c r="C29" s="17"/>
      <c r="D29" s="17"/>
      <c r="E29" s="18"/>
      <c r="F29" s="17"/>
      <c r="G29" s="19" t="n">
        <v>0</v>
      </c>
      <c r="H29" s="20" t="s">
        <v>17</v>
      </c>
      <c r="I29" s="18"/>
      <c r="J29" s="16"/>
      <c r="K29" s="21"/>
    </row>
    <row r="30" customFormat="false" ht="19.5" hidden="false" customHeight="true" outlineLevel="0" collapsed="false">
      <c r="A30" s="8" t="n">
        <v>27</v>
      </c>
      <c r="B30" s="9"/>
      <c r="C30" s="10"/>
      <c r="D30" s="10"/>
      <c r="E30" s="11"/>
      <c r="F30" s="10"/>
      <c r="G30" s="12" t="n">
        <v>0</v>
      </c>
      <c r="H30" s="13" t="s">
        <v>17</v>
      </c>
      <c r="I30" s="11"/>
      <c r="J30" s="9"/>
      <c r="K30" s="14"/>
    </row>
    <row r="31" customFormat="false" ht="19.5" hidden="false" customHeight="true" outlineLevel="0" collapsed="false">
      <c r="A31" s="15" t="n">
        <v>28</v>
      </c>
      <c r="B31" s="16"/>
      <c r="C31" s="17"/>
      <c r="D31" s="17"/>
      <c r="E31" s="18"/>
      <c r="F31" s="17"/>
      <c r="G31" s="19" t="n">
        <v>0</v>
      </c>
      <c r="H31" s="20" t="s">
        <v>17</v>
      </c>
      <c r="I31" s="18"/>
      <c r="J31" s="16"/>
      <c r="K31" s="21"/>
    </row>
    <row r="32" customFormat="false" ht="19.5" hidden="false" customHeight="true" outlineLevel="0" collapsed="false">
      <c r="A32" s="8" t="n">
        <v>29</v>
      </c>
      <c r="B32" s="9"/>
      <c r="C32" s="10"/>
      <c r="D32" s="10"/>
      <c r="E32" s="11"/>
      <c r="F32" s="10"/>
      <c r="G32" s="12" t="n">
        <v>0</v>
      </c>
      <c r="H32" s="13" t="s">
        <v>17</v>
      </c>
      <c r="I32" s="11"/>
      <c r="J32" s="9"/>
      <c r="K32" s="14"/>
    </row>
    <row r="33" customFormat="false" ht="19.5" hidden="false" customHeight="true" outlineLevel="0" collapsed="false">
      <c r="A33" s="15" t="n">
        <v>30</v>
      </c>
      <c r="B33" s="16"/>
      <c r="C33" s="17"/>
      <c r="D33" s="17"/>
      <c r="E33" s="18"/>
      <c r="F33" s="17"/>
      <c r="G33" s="19" t="n">
        <v>0</v>
      </c>
      <c r="H33" s="20" t="s">
        <v>17</v>
      </c>
      <c r="I33" s="18"/>
      <c r="J33" s="16"/>
      <c r="K33" s="21"/>
    </row>
    <row r="34" customFormat="false" ht="19.5" hidden="false" customHeight="true" outlineLevel="0" collapsed="false">
      <c r="A34" s="8" t="n">
        <v>31</v>
      </c>
      <c r="B34" s="9"/>
      <c r="C34" s="10"/>
      <c r="D34" s="10"/>
      <c r="E34" s="11"/>
      <c r="F34" s="10"/>
      <c r="G34" s="12" t="n">
        <v>0</v>
      </c>
      <c r="H34" s="13" t="s">
        <v>17</v>
      </c>
      <c r="I34" s="11"/>
      <c r="J34" s="9"/>
      <c r="K34" s="14"/>
    </row>
    <row r="35" customFormat="false" ht="19.5" hidden="false" customHeight="true" outlineLevel="0" collapsed="false">
      <c r="A35" s="15" t="n">
        <v>32</v>
      </c>
      <c r="B35" s="16"/>
      <c r="C35" s="17"/>
      <c r="D35" s="17"/>
      <c r="E35" s="18"/>
      <c r="F35" s="17"/>
      <c r="G35" s="19" t="n">
        <v>0</v>
      </c>
      <c r="H35" s="20" t="s">
        <v>17</v>
      </c>
      <c r="I35" s="18"/>
      <c r="J35" s="16"/>
      <c r="K35" s="21"/>
    </row>
    <row r="36" customFormat="false" ht="19.5" hidden="false" customHeight="true" outlineLevel="0" collapsed="false">
      <c r="A36" s="8" t="n">
        <v>33</v>
      </c>
      <c r="B36" s="9"/>
      <c r="C36" s="10"/>
      <c r="D36" s="10"/>
      <c r="E36" s="11"/>
      <c r="F36" s="10"/>
      <c r="G36" s="12" t="n">
        <v>0</v>
      </c>
      <c r="H36" s="13" t="s">
        <v>17</v>
      </c>
      <c r="I36" s="11"/>
      <c r="J36" s="9"/>
      <c r="K36" s="14"/>
    </row>
    <row r="37" customFormat="false" ht="19.5" hidden="false" customHeight="true" outlineLevel="0" collapsed="false">
      <c r="A37" s="15" t="n">
        <v>34</v>
      </c>
      <c r="B37" s="16"/>
      <c r="C37" s="17"/>
      <c r="D37" s="17"/>
      <c r="E37" s="18"/>
      <c r="F37" s="17"/>
      <c r="G37" s="19" t="n">
        <v>0</v>
      </c>
      <c r="H37" s="20" t="s">
        <v>17</v>
      </c>
      <c r="I37" s="18"/>
      <c r="J37" s="16"/>
      <c r="K37" s="21"/>
    </row>
    <row r="38" customFormat="false" ht="19.5" hidden="false" customHeight="true" outlineLevel="0" collapsed="false">
      <c r="A38" s="8" t="n">
        <v>35</v>
      </c>
      <c r="B38" s="9"/>
      <c r="C38" s="10"/>
      <c r="D38" s="10"/>
      <c r="E38" s="11"/>
      <c r="F38" s="10"/>
      <c r="G38" s="12" t="n">
        <v>0</v>
      </c>
      <c r="H38" s="13" t="s">
        <v>17</v>
      </c>
      <c r="I38" s="11"/>
      <c r="J38" s="9"/>
      <c r="K38" s="14"/>
    </row>
    <row r="39" customFormat="false" ht="19.5" hidden="false" customHeight="true" outlineLevel="0" collapsed="false">
      <c r="A39" s="15" t="n">
        <v>36</v>
      </c>
      <c r="B39" s="16"/>
      <c r="C39" s="17"/>
      <c r="D39" s="17"/>
      <c r="E39" s="18"/>
      <c r="F39" s="17"/>
      <c r="G39" s="19" t="n">
        <v>0</v>
      </c>
      <c r="H39" s="20" t="s">
        <v>17</v>
      </c>
      <c r="I39" s="18"/>
      <c r="J39" s="16"/>
      <c r="K39" s="21"/>
    </row>
    <row r="40" customFormat="false" ht="19.5" hidden="false" customHeight="true" outlineLevel="0" collapsed="false">
      <c r="A40" s="8" t="n">
        <v>37</v>
      </c>
      <c r="B40" s="9"/>
      <c r="C40" s="10"/>
      <c r="D40" s="10"/>
      <c r="E40" s="11"/>
      <c r="F40" s="10"/>
      <c r="G40" s="12" t="n">
        <v>0</v>
      </c>
      <c r="H40" s="13" t="s">
        <v>17</v>
      </c>
      <c r="I40" s="11"/>
      <c r="J40" s="9"/>
      <c r="K40" s="14"/>
    </row>
    <row r="41" customFormat="false" ht="19.5" hidden="false" customHeight="true" outlineLevel="0" collapsed="false">
      <c r="A41" s="15" t="n">
        <v>38</v>
      </c>
      <c r="B41" s="16"/>
      <c r="C41" s="17"/>
      <c r="D41" s="17"/>
      <c r="E41" s="18"/>
      <c r="F41" s="17"/>
      <c r="G41" s="19" t="n">
        <v>0</v>
      </c>
      <c r="H41" s="20" t="s">
        <v>17</v>
      </c>
      <c r="I41" s="18"/>
      <c r="J41" s="16"/>
      <c r="K41" s="21"/>
    </row>
    <row r="42" customFormat="false" ht="19.5" hidden="false" customHeight="true" outlineLevel="0" collapsed="false">
      <c r="A42" s="8" t="n">
        <v>39</v>
      </c>
      <c r="B42" s="9"/>
      <c r="C42" s="10"/>
      <c r="D42" s="10"/>
      <c r="E42" s="11"/>
      <c r="F42" s="10"/>
      <c r="G42" s="12" t="n">
        <v>0</v>
      </c>
      <c r="H42" s="13" t="s">
        <v>17</v>
      </c>
      <c r="I42" s="11"/>
      <c r="J42" s="9"/>
      <c r="K42" s="14"/>
    </row>
    <row r="43" customFormat="false" ht="19.5" hidden="false" customHeight="true" outlineLevel="0" collapsed="false">
      <c r="A43" s="15" t="n">
        <v>40</v>
      </c>
      <c r="B43" s="16"/>
      <c r="C43" s="17"/>
      <c r="D43" s="17"/>
      <c r="E43" s="18"/>
      <c r="F43" s="17"/>
      <c r="G43" s="19" t="n">
        <v>0</v>
      </c>
      <c r="H43" s="20" t="s">
        <v>17</v>
      </c>
      <c r="I43" s="18"/>
      <c r="J43" s="16"/>
      <c r="K43" s="21"/>
    </row>
    <row r="44" customFormat="false" ht="19.5" hidden="false" customHeight="true" outlineLevel="0" collapsed="false">
      <c r="A44" s="8" t="n">
        <v>41</v>
      </c>
      <c r="B44" s="9"/>
      <c r="C44" s="10"/>
      <c r="D44" s="10"/>
      <c r="E44" s="11"/>
      <c r="F44" s="10"/>
      <c r="G44" s="12" t="n">
        <v>0</v>
      </c>
      <c r="H44" s="13" t="s">
        <v>17</v>
      </c>
      <c r="I44" s="11"/>
      <c r="J44" s="9"/>
      <c r="K44" s="14"/>
    </row>
    <row r="45" customFormat="false" ht="19.5" hidden="false" customHeight="true" outlineLevel="0" collapsed="false">
      <c r="A45" s="15" t="n">
        <v>42</v>
      </c>
      <c r="B45" s="16"/>
      <c r="C45" s="17"/>
      <c r="D45" s="17"/>
      <c r="E45" s="18"/>
      <c r="F45" s="17"/>
      <c r="G45" s="19" t="n">
        <v>0</v>
      </c>
      <c r="H45" s="20" t="s">
        <v>17</v>
      </c>
      <c r="I45" s="18"/>
      <c r="J45" s="16"/>
      <c r="K45" s="21"/>
    </row>
    <row r="46" customFormat="false" ht="19.5" hidden="false" customHeight="true" outlineLevel="0" collapsed="false">
      <c r="A46" s="8" t="n">
        <v>43</v>
      </c>
      <c r="B46" s="9"/>
      <c r="C46" s="10"/>
      <c r="D46" s="10"/>
      <c r="E46" s="11"/>
      <c r="F46" s="10"/>
      <c r="G46" s="12" t="n">
        <v>0</v>
      </c>
      <c r="H46" s="13" t="s">
        <v>17</v>
      </c>
      <c r="I46" s="11"/>
      <c r="J46" s="9"/>
      <c r="K46" s="14"/>
    </row>
    <row r="47" customFormat="false" ht="19.5" hidden="false" customHeight="true" outlineLevel="0" collapsed="false">
      <c r="A47" s="15" t="n">
        <v>44</v>
      </c>
      <c r="B47" s="16"/>
      <c r="C47" s="17"/>
      <c r="D47" s="17"/>
      <c r="E47" s="18"/>
      <c r="F47" s="17"/>
      <c r="G47" s="19" t="n">
        <v>0</v>
      </c>
      <c r="H47" s="20" t="s">
        <v>17</v>
      </c>
      <c r="I47" s="18"/>
      <c r="J47" s="16"/>
      <c r="K47" s="21"/>
    </row>
    <row r="48" customFormat="false" ht="19.5" hidden="false" customHeight="true" outlineLevel="0" collapsed="false">
      <c r="A48" s="8" t="n">
        <v>45</v>
      </c>
      <c r="B48" s="9"/>
      <c r="C48" s="10"/>
      <c r="D48" s="10"/>
      <c r="E48" s="11"/>
      <c r="F48" s="10"/>
      <c r="G48" s="12" t="n">
        <v>0</v>
      </c>
      <c r="H48" s="13" t="s">
        <v>17</v>
      </c>
      <c r="I48" s="11"/>
      <c r="J48" s="9"/>
      <c r="K48" s="14"/>
    </row>
    <row r="49" customFormat="false" ht="19.5" hidden="false" customHeight="true" outlineLevel="0" collapsed="false">
      <c r="A49" s="15" t="n">
        <v>46</v>
      </c>
      <c r="B49" s="16"/>
      <c r="C49" s="17"/>
      <c r="D49" s="17"/>
      <c r="E49" s="18"/>
      <c r="F49" s="17"/>
      <c r="G49" s="19" t="n">
        <v>0</v>
      </c>
      <c r="H49" s="20" t="s">
        <v>17</v>
      </c>
      <c r="I49" s="18"/>
      <c r="J49" s="16"/>
      <c r="K49" s="21"/>
    </row>
    <row r="50" customFormat="false" ht="19.5" hidden="false" customHeight="true" outlineLevel="0" collapsed="false">
      <c r="A50" s="8" t="n">
        <v>47</v>
      </c>
      <c r="B50" s="9"/>
      <c r="C50" s="10"/>
      <c r="D50" s="10"/>
      <c r="E50" s="11"/>
      <c r="F50" s="10"/>
      <c r="G50" s="12" t="n">
        <v>0</v>
      </c>
      <c r="H50" s="13" t="s">
        <v>17</v>
      </c>
      <c r="I50" s="11"/>
      <c r="J50" s="9"/>
      <c r="K50" s="14"/>
    </row>
    <row r="51" customFormat="false" ht="19.5" hidden="false" customHeight="true" outlineLevel="0" collapsed="false">
      <c r="A51" s="15" t="n">
        <v>48</v>
      </c>
      <c r="B51" s="16"/>
      <c r="C51" s="17"/>
      <c r="D51" s="17"/>
      <c r="E51" s="18"/>
      <c r="F51" s="17"/>
      <c r="G51" s="19" t="n">
        <v>0</v>
      </c>
      <c r="H51" s="20" t="s">
        <v>17</v>
      </c>
      <c r="I51" s="18"/>
      <c r="J51" s="16"/>
      <c r="K51" s="21"/>
    </row>
    <row r="52" customFormat="false" ht="19.5" hidden="false" customHeight="true" outlineLevel="0" collapsed="false">
      <c r="A52" s="8" t="n">
        <v>49</v>
      </c>
      <c r="B52" s="9"/>
      <c r="C52" s="10"/>
      <c r="D52" s="10"/>
      <c r="E52" s="11"/>
      <c r="F52" s="10"/>
      <c r="G52" s="12" t="n">
        <v>0</v>
      </c>
      <c r="H52" s="13" t="s">
        <v>17</v>
      </c>
      <c r="I52" s="11"/>
      <c r="J52" s="9"/>
      <c r="K52" s="14"/>
    </row>
    <row r="53" customFormat="false" ht="19.5" hidden="false" customHeight="true" outlineLevel="0" collapsed="false">
      <c r="A53" s="15" t="n">
        <v>50</v>
      </c>
      <c r="B53" s="16"/>
      <c r="C53" s="17"/>
      <c r="D53" s="17"/>
      <c r="E53" s="18"/>
      <c r="F53" s="17"/>
      <c r="G53" s="19" t="n">
        <v>0</v>
      </c>
      <c r="H53" s="20" t="s">
        <v>17</v>
      </c>
      <c r="I53" s="18"/>
      <c r="J53" s="16"/>
      <c r="K53" s="21"/>
    </row>
    <row r="54" customFormat="false" ht="21.75" hidden="false" customHeight="true" outlineLevel="0" collapsed="false">
      <c r="A54" s="22" t="s">
        <v>18</v>
      </c>
      <c r="B54" s="22"/>
      <c r="C54" s="22"/>
      <c r="D54" s="22"/>
      <c r="E54" s="22"/>
      <c r="F54" s="22"/>
      <c r="G54" s="23" t="n">
        <f aca="false">SUM(G4:G53)</f>
        <v>0</v>
      </c>
      <c r="H54" s="24" t="str">
        <f aca="false">CONCATENATE(COUNTIF(H4:H53,"Yes")," of ",COUNTA(C4:C53)," sessions logged in Neoserra")</f>
        <v>0 of 0 sessions logged in Neoserra</v>
      </c>
      <c r="I54" s="24"/>
      <c r="J54" s="24"/>
      <c r="K54" s="24"/>
    </row>
  </sheetData>
  <mergeCells count="6">
    <mergeCell ref="A1:K1"/>
    <mergeCell ref="A2:B2"/>
    <mergeCell ref="C2:D2"/>
    <mergeCell ref="H2:I2"/>
    <mergeCell ref="A54:F54"/>
    <mergeCell ref="H54:K54"/>
  </mergeCells>
  <conditionalFormatting sqref="H4:H53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2">
      <formula>"No"</formula>
    </cfRule>
  </conditionalFormatting>
  <dataValidations count="4">
    <dataValidation allowBlank="true" errorStyle="stop" operator="between" showDropDown="false" showErrorMessage="false" showInputMessage="false" sqref="E4:E53" type="list">
      <formula1>"Initial Consultation,Follow-Up,Workshop,Email/Phone,Research,Admin"</formula1>
      <formula2>0</formula2>
    </dataValidation>
    <dataValidation allowBlank="true" errorStyle="stop" operator="between" showDropDown="false" showErrorMessage="false" showInputMessage="false" sqref="F4:F53" type="list">
      <formula1>"Target Audience,Competitive Analysis,Social Media,SEO / Website,Email Marketing,Paid Advertising,Branding / Messaging,Marketing Plan,Budget Planning,Analytics,General Advising,Other"</formula1>
      <formula2>0</formula2>
    </dataValidation>
    <dataValidation allowBlank="true" errorStyle="stop" operator="between" showDropDown="false" showErrorMessage="false" showInputMessage="false" sqref="H4:H53" type="list">
      <formula1>"Yes,No,Pending"</formula1>
      <formula2>0</formula2>
    </dataValidation>
    <dataValidation allowBlank="true" errorStyle="stop" operator="between" showDropDown="false" showErrorMessage="false" showInputMessage="false" sqref="I4:I53" type="list">
      <formula1>"Action Items Assigned,Resources Shared,Follow-Up Scheduled,Referral Made,Session 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  <col collapsed="false" customWidth="true" hidden="false" outlineLevel="0" max="7" min="5" style="0" width="14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20</v>
      </c>
      <c r="B2" s="2"/>
      <c r="C2" s="3" t="n">
        <f aca="false">'Session Log'!C2</f>
        <v>0</v>
      </c>
      <c r="D2" s="3"/>
      <c r="E2" s="4" t="s">
        <v>21</v>
      </c>
      <c r="F2" s="25" t="n">
        <f aca="false">'Session Log'!K2</f>
        <v>0</v>
      </c>
      <c r="G2" s="25"/>
      <c r="H2" s="25"/>
    </row>
    <row r="3" customFormat="false" ht="24" hidden="false" customHeight="true" outlineLevel="0" collapsed="false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</row>
    <row r="4" customFormat="false" ht="19.5" hidden="false" customHeight="true" outlineLevel="0" collapsed="false">
      <c r="A4" s="26" t="s">
        <v>30</v>
      </c>
      <c r="B4" s="27" t="n">
        <f aca="false">SUMPRODUCT((MONTH('Session Log'!B4:B53)=1)*(YEAR('Session Log'!B4:B53)='Session Log'!F2)*('Session Log'!C4:C53&lt;&gt;""))</f>
        <v>0</v>
      </c>
      <c r="C4" s="19" t="n">
        <f aca="false">SUMPRODUCT((MONTH('Session Log'!B4:B53)=1)*(YEAR('Session Log'!B4:B53)='Session Log'!F2)*('Session Log'!G4:G53))</f>
        <v>0</v>
      </c>
      <c r="D4" s="19" t="str">
        <f aca="false">IFERROR(C4/B4,"-")</f>
        <v>-</v>
      </c>
      <c r="E4" s="28" t="n">
        <f aca="false">'Session Log'!K2</f>
        <v>0</v>
      </c>
      <c r="F4" s="19" t="n">
        <f aca="false">IFERROR(C4-E4,"-")</f>
        <v>0</v>
      </c>
      <c r="G4" s="29" t="n">
        <f aca="false">IFERROR(C4/E4,0)</f>
        <v>0</v>
      </c>
      <c r="H4" s="30" t="str">
        <f aca="false">IF(B4=0,"No Sessions",IF(G4&gt;=1,"On Track ✅",IF(G4&gt;=0.75,"Close 🔧","Below Goal 🚨")))</f>
        <v>No Sessions</v>
      </c>
    </row>
    <row r="5" customFormat="false" ht="19.5" hidden="false" customHeight="true" outlineLevel="0" collapsed="false">
      <c r="A5" s="31" t="s">
        <v>31</v>
      </c>
      <c r="B5" s="32" t="n">
        <f aca="false">SUMPRODUCT((MONTH('Session Log'!B4:B53)=2)*(YEAR('Session Log'!B4:B53)='Session Log'!F2)*('Session Log'!C4:C53&lt;&gt;""))</f>
        <v>0</v>
      </c>
      <c r="C5" s="12" t="n">
        <f aca="false">SUMPRODUCT((MONTH('Session Log'!B4:B53)=2)*(YEAR('Session Log'!B4:B53)='Session Log'!F2)*('Session Log'!G4:G53))</f>
        <v>0</v>
      </c>
      <c r="D5" s="12" t="str">
        <f aca="false">IFERROR(C5/B5,"-")</f>
        <v>-</v>
      </c>
      <c r="E5" s="33" t="n">
        <f aca="false">'Session Log'!K2</f>
        <v>0</v>
      </c>
      <c r="F5" s="12" t="n">
        <f aca="false">IFERROR(C5-E5,"-")</f>
        <v>0</v>
      </c>
      <c r="G5" s="34" t="n">
        <f aca="false">IFERROR(C5/E5,0)</f>
        <v>0</v>
      </c>
      <c r="H5" s="35" t="str">
        <f aca="false">IF(B5=0,"No Sessions",IF(G5&gt;=1,"On Track ✅",IF(G5&gt;=0.75,"Close 🔧","Below Goal 🚨")))</f>
        <v>No Sessions</v>
      </c>
    </row>
    <row r="6" customFormat="false" ht="19.5" hidden="false" customHeight="true" outlineLevel="0" collapsed="false">
      <c r="A6" s="26" t="s">
        <v>32</v>
      </c>
      <c r="B6" s="27" t="n">
        <f aca="false">SUMPRODUCT((MONTH('Session Log'!B4:B53)=3)*(YEAR('Session Log'!B4:B53)='Session Log'!F2)*('Session Log'!C4:C53&lt;&gt;""))</f>
        <v>0</v>
      </c>
      <c r="C6" s="19" t="n">
        <f aca="false">SUMPRODUCT((MONTH('Session Log'!B4:B53)=3)*(YEAR('Session Log'!B4:B53)='Session Log'!F2)*('Session Log'!G4:G53))</f>
        <v>0</v>
      </c>
      <c r="D6" s="19" t="str">
        <f aca="false">IFERROR(C6/B6,"-")</f>
        <v>-</v>
      </c>
      <c r="E6" s="28" t="n">
        <f aca="false">'Session Log'!K2</f>
        <v>0</v>
      </c>
      <c r="F6" s="19" t="n">
        <f aca="false">IFERROR(C6-E6,"-")</f>
        <v>0</v>
      </c>
      <c r="G6" s="29" t="n">
        <f aca="false">IFERROR(C6/E6,0)</f>
        <v>0</v>
      </c>
      <c r="H6" s="30" t="str">
        <f aca="false">IF(B6=0,"No Sessions",IF(G6&gt;=1,"On Track ✅",IF(G6&gt;=0.75,"Close 🔧","Below Goal 🚨")))</f>
        <v>No Sessions</v>
      </c>
    </row>
    <row r="7" customFormat="false" ht="19.5" hidden="false" customHeight="true" outlineLevel="0" collapsed="false">
      <c r="A7" s="31" t="s">
        <v>33</v>
      </c>
      <c r="B7" s="32" t="n">
        <f aca="false">SUMPRODUCT((MONTH('Session Log'!B4:B53)=4)*(YEAR('Session Log'!B4:B53)='Session Log'!F2)*('Session Log'!C4:C53&lt;&gt;""))</f>
        <v>0</v>
      </c>
      <c r="C7" s="12" t="n">
        <f aca="false">SUMPRODUCT((MONTH('Session Log'!B4:B53)=4)*(YEAR('Session Log'!B4:B53)='Session Log'!F2)*('Session Log'!G4:G53))</f>
        <v>0</v>
      </c>
      <c r="D7" s="12" t="str">
        <f aca="false">IFERROR(C7/B7,"-")</f>
        <v>-</v>
      </c>
      <c r="E7" s="33" t="n">
        <f aca="false">'Session Log'!K2</f>
        <v>0</v>
      </c>
      <c r="F7" s="12" t="n">
        <f aca="false">IFERROR(C7-E7,"-")</f>
        <v>0</v>
      </c>
      <c r="G7" s="34" t="n">
        <f aca="false">IFERROR(C7/E7,0)</f>
        <v>0</v>
      </c>
      <c r="H7" s="35" t="str">
        <f aca="false">IF(B7=0,"No Sessions",IF(G7&gt;=1,"On Track ✅",IF(G7&gt;=0.75,"Close 🔧","Below Goal 🚨")))</f>
        <v>No Sessions</v>
      </c>
    </row>
    <row r="8" customFormat="false" ht="19.5" hidden="false" customHeight="true" outlineLevel="0" collapsed="false">
      <c r="A8" s="26" t="s">
        <v>34</v>
      </c>
      <c r="B8" s="27" t="n">
        <f aca="false">SUMPRODUCT((MONTH('Session Log'!B4:B53)=5)*(YEAR('Session Log'!B4:B53)='Session Log'!F2)*('Session Log'!C4:C53&lt;&gt;""))</f>
        <v>0</v>
      </c>
      <c r="C8" s="19" t="n">
        <f aca="false">SUMPRODUCT((MONTH('Session Log'!B4:B53)=5)*(YEAR('Session Log'!B4:B53)='Session Log'!F2)*('Session Log'!G4:G53))</f>
        <v>0</v>
      </c>
      <c r="D8" s="19" t="str">
        <f aca="false">IFERROR(C8/B8,"-")</f>
        <v>-</v>
      </c>
      <c r="E8" s="28" t="n">
        <f aca="false">'Session Log'!K2</f>
        <v>0</v>
      </c>
      <c r="F8" s="19" t="n">
        <f aca="false">IFERROR(C8-E8,"-")</f>
        <v>0</v>
      </c>
      <c r="G8" s="29" t="n">
        <f aca="false">IFERROR(C8/E8,0)</f>
        <v>0</v>
      </c>
      <c r="H8" s="30" t="str">
        <f aca="false">IF(B8=0,"No Sessions",IF(G8&gt;=1,"On Track ✅",IF(G8&gt;=0.75,"Close 🔧","Below Goal 🚨")))</f>
        <v>No Sessions</v>
      </c>
    </row>
    <row r="9" customFormat="false" ht="19.5" hidden="false" customHeight="true" outlineLevel="0" collapsed="false">
      <c r="A9" s="31" t="s">
        <v>35</v>
      </c>
      <c r="B9" s="32" t="n">
        <f aca="false">SUMPRODUCT((MONTH('Session Log'!B4:B53)=6)*(YEAR('Session Log'!B4:B53)='Session Log'!F2)*('Session Log'!C4:C53&lt;&gt;""))</f>
        <v>0</v>
      </c>
      <c r="C9" s="12" t="n">
        <f aca="false">SUMPRODUCT((MONTH('Session Log'!B4:B53)=6)*(YEAR('Session Log'!B4:B53)='Session Log'!F2)*('Session Log'!G4:G53))</f>
        <v>0</v>
      </c>
      <c r="D9" s="12" t="str">
        <f aca="false">IFERROR(C9/B9,"-")</f>
        <v>-</v>
      </c>
      <c r="E9" s="33" t="n">
        <f aca="false">'Session Log'!K2</f>
        <v>0</v>
      </c>
      <c r="F9" s="12" t="n">
        <f aca="false">IFERROR(C9-E9,"-")</f>
        <v>0</v>
      </c>
      <c r="G9" s="34" t="n">
        <f aca="false">IFERROR(C9/E9,0)</f>
        <v>0</v>
      </c>
      <c r="H9" s="35" t="str">
        <f aca="false">IF(B9=0,"No Sessions",IF(G9&gt;=1,"On Track ✅",IF(G9&gt;=0.75,"Close 🔧","Below Goal 🚨")))</f>
        <v>No Sessions</v>
      </c>
    </row>
    <row r="10" customFormat="false" ht="19.5" hidden="false" customHeight="true" outlineLevel="0" collapsed="false">
      <c r="A10" s="26" t="s">
        <v>36</v>
      </c>
      <c r="B10" s="27" t="n">
        <f aca="false">SUMPRODUCT((MONTH('Session Log'!B4:B53)=7)*(YEAR('Session Log'!B4:B53)='Session Log'!F2)*('Session Log'!C4:C53&lt;&gt;""))</f>
        <v>0</v>
      </c>
      <c r="C10" s="19" t="n">
        <f aca="false">SUMPRODUCT((MONTH('Session Log'!B4:B53)=7)*(YEAR('Session Log'!B4:B53)='Session Log'!F2)*('Session Log'!G4:G53))</f>
        <v>0</v>
      </c>
      <c r="D10" s="19" t="str">
        <f aca="false">IFERROR(C10/B10,"-")</f>
        <v>-</v>
      </c>
      <c r="E10" s="28" t="n">
        <f aca="false">'Session Log'!K2</f>
        <v>0</v>
      </c>
      <c r="F10" s="19" t="n">
        <f aca="false">IFERROR(C10-E10,"-")</f>
        <v>0</v>
      </c>
      <c r="G10" s="29" t="n">
        <f aca="false">IFERROR(C10/E10,0)</f>
        <v>0</v>
      </c>
      <c r="H10" s="30" t="str">
        <f aca="false">IF(B10=0,"No Sessions",IF(G10&gt;=1,"On Track ✅",IF(G10&gt;=0.75,"Close 🔧","Below Goal 🚨")))</f>
        <v>No Sessions</v>
      </c>
    </row>
    <row r="11" customFormat="false" ht="19.5" hidden="false" customHeight="true" outlineLevel="0" collapsed="false">
      <c r="A11" s="31" t="s">
        <v>37</v>
      </c>
      <c r="B11" s="32" t="n">
        <f aca="false">SUMPRODUCT((MONTH('Session Log'!B4:B53)=8)*(YEAR('Session Log'!B4:B53)='Session Log'!F2)*('Session Log'!C4:C53&lt;&gt;""))</f>
        <v>0</v>
      </c>
      <c r="C11" s="12" t="n">
        <f aca="false">SUMPRODUCT((MONTH('Session Log'!B4:B53)=8)*(YEAR('Session Log'!B4:B53)='Session Log'!F2)*('Session Log'!G4:G53))</f>
        <v>0</v>
      </c>
      <c r="D11" s="12" t="str">
        <f aca="false">IFERROR(C11/B11,"-")</f>
        <v>-</v>
      </c>
      <c r="E11" s="33" t="n">
        <f aca="false">'Session Log'!K2</f>
        <v>0</v>
      </c>
      <c r="F11" s="12" t="n">
        <f aca="false">IFERROR(C11-E11,"-")</f>
        <v>0</v>
      </c>
      <c r="G11" s="34" t="n">
        <f aca="false">IFERROR(C11/E11,0)</f>
        <v>0</v>
      </c>
      <c r="H11" s="35" t="str">
        <f aca="false">IF(B11=0,"No Sessions",IF(G11&gt;=1,"On Track ✅",IF(G11&gt;=0.75,"Close 🔧","Below Goal 🚨")))</f>
        <v>No Sessions</v>
      </c>
    </row>
    <row r="12" customFormat="false" ht="19.5" hidden="false" customHeight="true" outlineLevel="0" collapsed="false">
      <c r="A12" s="26" t="s">
        <v>38</v>
      </c>
      <c r="B12" s="27" t="n">
        <f aca="false">SUMPRODUCT((MONTH('Session Log'!B4:B53)=9)*(YEAR('Session Log'!B4:B53)='Session Log'!F2)*('Session Log'!C4:C53&lt;&gt;""))</f>
        <v>0</v>
      </c>
      <c r="C12" s="19" t="n">
        <f aca="false">SUMPRODUCT((MONTH('Session Log'!B4:B53)=9)*(YEAR('Session Log'!B4:B53)='Session Log'!F2)*('Session Log'!G4:G53))</f>
        <v>0</v>
      </c>
      <c r="D12" s="19" t="str">
        <f aca="false">IFERROR(C12/B12,"-")</f>
        <v>-</v>
      </c>
      <c r="E12" s="28" t="n">
        <f aca="false">'Session Log'!K2</f>
        <v>0</v>
      </c>
      <c r="F12" s="19" t="n">
        <f aca="false">IFERROR(C12-E12,"-")</f>
        <v>0</v>
      </c>
      <c r="G12" s="29" t="n">
        <f aca="false">IFERROR(C12/E12,0)</f>
        <v>0</v>
      </c>
      <c r="H12" s="30" t="str">
        <f aca="false">IF(B12=0,"No Sessions",IF(G12&gt;=1,"On Track ✅",IF(G12&gt;=0.75,"Close 🔧","Below Goal 🚨")))</f>
        <v>No Sessions</v>
      </c>
    </row>
    <row r="13" customFormat="false" ht="19.5" hidden="false" customHeight="true" outlineLevel="0" collapsed="false">
      <c r="A13" s="31" t="s">
        <v>39</v>
      </c>
      <c r="B13" s="32" t="n">
        <f aca="false">SUMPRODUCT((MONTH('Session Log'!B4:B53)=10)*(YEAR('Session Log'!B4:B53)='Session Log'!F2)*('Session Log'!C4:C53&lt;&gt;""))</f>
        <v>0</v>
      </c>
      <c r="C13" s="12" t="n">
        <f aca="false">SUMPRODUCT((MONTH('Session Log'!B4:B53)=10)*(YEAR('Session Log'!B4:B53)='Session Log'!F2)*('Session Log'!G4:G53))</f>
        <v>0</v>
      </c>
      <c r="D13" s="12" t="str">
        <f aca="false">IFERROR(C13/B13,"-")</f>
        <v>-</v>
      </c>
      <c r="E13" s="33" t="n">
        <f aca="false">'Session Log'!K2</f>
        <v>0</v>
      </c>
      <c r="F13" s="12" t="n">
        <f aca="false">IFERROR(C13-E13,"-")</f>
        <v>0</v>
      </c>
      <c r="G13" s="34" t="n">
        <f aca="false">IFERROR(C13/E13,0)</f>
        <v>0</v>
      </c>
      <c r="H13" s="35" t="str">
        <f aca="false">IF(B13=0,"No Sessions",IF(G13&gt;=1,"On Track ✅",IF(G13&gt;=0.75,"Close 🔧","Below Goal 🚨")))</f>
        <v>No Sessions</v>
      </c>
    </row>
    <row r="14" customFormat="false" ht="19.5" hidden="false" customHeight="true" outlineLevel="0" collapsed="false">
      <c r="A14" s="26" t="s">
        <v>40</v>
      </c>
      <c r="B14" s="27" t="n">
        <f aca="false">SUMPRODUCT((MONTH('Session Log'!B4:B53)=11)*(YEAR('Session Log'!B4:B53)='Session Log'!F2)*('Session Log'!C4:C53&lt;&gt;""))</f>
        <v>0</v>
      </c>
      <c r="C14" s="19" t="n">
        <f aca="false">SUMPRODUCT((MONTH('Session Log'!B4:B53)=11)*(YEAR('Session Log'!B4:B53)='Session Log'!F2)*('Session Log'!G4:G53))</f>
        <v>0</v>
      </c>
      <c r="D14" s="19" t="str">
        <f aca="false">IFERROR(C14/B14,"-")</f>
        <v>-</v>
      </c>
      <c r="E14" s="28" t="n">
        <f aca="false">'Session Log'!K2</f>
        <v>0</v>
      </c>
      <c r="F14" s="19" t="n">
        <f aca="false">IFERROR(C14-E14,"-")</f>
        <v>0</v>
      </c>
      <c r="G14" s="29" t="n">
        <f aca="false">IFERROR(C14/E14,0)</f>
        <v>0</v>
      </c>
      <c r="H14" s="30" t="str">
        <f aca="false">IF(B14=0,"No Sessions",IF(G14&gt;=1,"On Track ✅",IF(G14&gt;=0.75,"Close 🔧","Below Goal 🚨")))</f>
        <v>No Sessions</v>
      </c>
    </row>
    <row r="15" customFormat="false" ht="19.5" hidden="false" customHeight="true" outlineLevel="0" collapsed="false">
      <c r="A15" s="31" t="s">
        <v>41</v>
      </c>
      <c r="B15" s="32" t="n">
        <f aca="false">SUMPRODUCT((MONTH('Session Log'!B4:B53)=12)*(YEAR('Session Log'!B4:B53)='Session Log'!F2)*('Session Log'!C4:C53&lt;&gt;""))</f>
        <v>0</v>
      </c>
      <c r="C15" s="12" t="n">
        <f aca="false">SUMPRODUCT((MONTH('Session Log'!B4:B53)=12)*(YEAR('Session Log'!B4:B53)='Session Log'!F2)*('Session Log'!G4:G53))</f>
        <v>0</v>
      </c>
      <c r="D15" s="12" t="str">
        <f aca="false">IFERROR(C15/B15,"-")</f>
        <v>-</v>
      </c>
      <c r="E15" s="33" t="n">
        <f aca="false">'Session Log'!K2</f>
        <v>0</v>
      </c>
      <c r="F15" s="12" t="n">
        <f aca="false">IFERROR(C15-E15,"-")</f>
        <v>0</v>
      </c>
      <c r="G15" s="34" t="n">
        <f aca="false">IFERROR(C15/E15,0)</f>
        <v>0</v>
      </c>
      <c r="H15" s="35" t="str">
        <f aca="false">IF(B15=0,"No Sessions",IF(G15&gt;=1,"On Track ✅",IF(G15&gt;=0.75,"Close 🔧","Below Goal 🚨")))</f>
        <v>No Sessions</v>
      </c>
    </row>
    <row r="16" customFormat="false" ht="21.75" hidden="false" customHeight="true" outlineLevel="0" collapsed="false">
      <c r="A16" s="36" t="s">
        <v>42</v>
      </c>
      <c r="B16" s="37" t="n">
        <f aca="false">SUM(B4:B15)</f>
        <v>0</v>
      </c>
      <c r="C16" s="23" t="n">
        <f aca="false">SUM(C4:C15)</f>
        <v>0</v>
      </c>
      <c r="D16" s="38" t="str">
        <f aca="false">IFERROR(C16/B16,"-")</f>
        <v>-</v>
      </c>
      <c r="E16" s="39" t="n">
        <f aca="false">SUM(E4:E15)</f>
        <v>0</v>
      </c>
      <c r="F16" s="38" t="n">
        <f aca="false">IFERROR(C16-E16,"-")</f>
        <v>0</v>
      </c>
      <c r="G16" s="40" t="n">
        <f aca="false">IFERROR(C16/E16,0)</f>
        <v>0</v>
      </c>
      <c r="H16" s="36" t="s">
        <v>43</v>
      </c>
    </row>
  </sheetData>
  <mergeCells count="4">
    <mergeCell ref="A1:H1"/>
    <mergeCell ref="A2:B2"/>
    <mergeCell ref="C2:D2"/>
    <mergeCell ref="F2:H2"/>
  </mergeCells>
  <conditionalFormatting sqref="G4:G15">
    <cfRule type="cellIs" priority="2" operator="greaterThanOrEqual" aboveAverage="0" equalAverage="0" bottom="0" percent="0" rank="0" text="" dxfId="3">
      <formula>1</formula>
    </cfRule>
    <cfRule type="cellIs" priority="3" operator="between" aboveAverage="0" equalAverage="0" bottom="0" percent="0" rank="0" text="" dxfId="4">
      <formula>0.75</formula>
      <formula>0.9999</formula>
    </cfRule>
    <cfRule type="cellIs" priority="4" operator="between" aboveAverage="0" equalAverage="0" bottom="0" percent="0" rank="0" text="" dxfId="5">
      <formula>0.5</formula>
      <formula>0.7499</formula>
    </cfRule>
    <cfRule type="cellIs" priority="5" operator="lessThan" aboveAverage="0" equalAverage="0" bottom="0" percent="0" rank="0" text="" dxfId="6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6" min="4" style="0" width="12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44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41" t="s">
        <v>45</v>
      </c>
      <c r="B2" s="41"/>
      <c r="C2" s="41"/>
      <c r="D2" s="41"/>
      <c r="E2" s="41"/>
      <c r="F2" s="41"/>
      <c r="G2" s="41"/>
    </row>
    <row r="3" customFormat="false" ht="24" hidden="false" customHeight="true" outlineLevel="0" collapsed="false">
      <c r="A3" s="7" t="s">
        <v>6</v>
      </c>
      <c r="B3" s="7" t="s">
        <v>8</v>
      </c>
      <c r="C3" s="7" t="s">
        <v>9</v>
      </c>
      <c r="D3" s="7" t="s">
        <v>23</v>
      </c>
      <c r="E3" s="7" t="s">
        <v>24</v>
      </c>
      <c r="F3" s="7" t="s">
        <v>46</v>
      </c>
      <c r="G3" s="7" t="s">
        <v>47</v>
      </c>
    </row>
    <row r="4" customFormat="false" ht="19.5" hidden="false" customHeight="true" outlineLevel="0" collapsed="false">
      <c r="A4" s="8" t="n">
        <v>1</v>
      </c>
      <c r="B4" s="10"/>
      <c r="C4" s="10"/>
      <c r="D4" s="32" t="n">
        <f aca="false">IFERROR(COUNTIF('Session Log'!C4:C53,B4),"-")</f>
        <v>0</v>
      </c>
      <c r="E4" s="42" t="n">
        <f aca="false">IFERROR(SUMIF('Session Log'!C4:C53,B4,'Session Log'!G4:G53),"-")</f>
        <v>0</v>
      </c>
      <c r="F4" s="43" t="str">
        <f aca="false">IFERROR(maxifs('Session Log'!B4:B53,'Session Log'!C4:C53,B4),"-")</f>
        <v>-</v>
      </c>
      <c r="G4" s="44" t="str">
        <f aca="false">IFERROR(INDEX('Session Log'!F4:F53,MATCH(maxifs('Session Log'!B4:B53,'Session Log'!C4:C53,B4),'Session Log'!B4:B53,0)),"-")</f>
        <v>-</v>
      </c>
    </row>
    <row r="5" customFormat="false" ht="19.5" hidden="false" customHeight="true" outlineLevel="0" collapsed="false">
      <c r="A5" s="15" t="n">
        <v>2</v>
      </c>
      <c r="B5" s="17"/>
      <c r="C5" s="17"/>
      <c r="D5" s="27" t="n">
        <f aca="false">IFERROR(COUNTIF('Session Log'!C4:C53,B5),"-")</f>
        <v>0</v>
      </c>
      <c r="E5" s="45" t="n">
        <f aca="false">IFERROR(SUMIF('Session Log'!C4:C53,B5,'Session Log'!G4:G53),"-")</f>
        <v>0</v>
      </c>
      <c r="F5" s="46" t="str">
        <f aca="false">IFERROR(maxifs('Session Log'!B4:B53,'Session Log'!C4:C53,B5),"-")</f>
        <v>-</v>
      </c>
      <c r="G5" s="47" t="str">
        <f aca="false">IFERROR(INDEX('Session Log'!F4:F53,MATCH(maxifs('Session Log'!B4:B53,'Session Log'!C4:C53,B5),'Session Log'!B4:B53,0)),"-")</f>
        <v>-</v>
      </c>
    </row>
    <row r="6" customFormat="false" ht="19.5" hidden="false" customHeight="true" outlineLevel="0" collapsed="false">
      <c r="A6" s="8" t="n">
        <v>3</v>
      </c>
      <c r="B6" s="10"/>
      <c r="C6" s="10"/>
      <c r="D6" s="32" t="n">
        <f aca="false">IFERROR(COUNTIF('Session Log'!C4:C53,B6),"-")</f>
        <v>0</v>
      </c>
      <c r="E6" s="42" t="n">
        <f aca="false">IFERROR(SUMIF('Session Log'!C4:C53,B6,'Session Log'!G4:G53),"-")</f>
        <v>0</v>
      </c>
      <c r="F6" s="43" t="str">
        <f aca="false">IFERROR(maxifs('Session Log'!B4:B53,'Session Log'!C4:C53,B6),"-")</f>
        <v>-</v>
      </c>
      <c r="G6" s="44" t="str">
        <f aca="false">IFERROR(INDEX('Session Log'!F4:F53,MATCH(maxifs('Session Log'!B4:B53,'Session Log'!C4:C53,B6),'Session Log'!B4:B53,0)),"-")</f>
        <v>-</v>
      </c>
    </row>
    <row r="7" customFormat="false" ht="19.5" hidden="false" customHeight="true" outlineLevel="0" collapsed="false">
      <c r="A7" s="15" t="n">
        <v>4</v>
      </c>
      <c r="B7" s="17"/>
      <c r="C7" s="17"/>
      <c r="D7" s="27" t="n">
        <f aca="false">IFERROR(COUNTIF('Session Log'!C4:C53,B7),"-")</f>
        <v>0</v>
      </c>
      <c r="E7" s="45" t="n">
        <f aca="false">IFERROR(SUMIF('Session Log'!C4:C53,B7,'Session Log'!G4:G53),"-")</f>
        <v>0</v>
      </c>
      <c r="F7" s="46" t="str">
        <f aca="false">IFERROR(maxifs('Session Log'!B4:B53,'Session Log'!C4:C53,B7),"-")</f>
        <v>-</v>
      </c>
      <c r="G7" s="47" t="str">
        <f aca="false">IFERROR(INDEX('Session Log'!F4:F53,MATCH(maxifs('Session Log'!B4:B53,'Session Log'!C4:C53,B7),'Session Log'!B4:B53,0)),"-")</f>
        <v>-</v>
      </c>
    </row>
    <row r="8" customFormat="false" ht="19.5" hidden="false" customHeight="true" outlineLevel="0" collapsed="false">
      <c r="A8" s="8" t="n">
        <v>5</v>
      </c>
      <c r="B8" s="10"/>
      <c r="C8" s="10"/>
      <c r="D8" s="32" t="n">
        <f aca="false">IFERROR(COUNTIF('Session Log'!C4:C53,B8),"-")</f>
        <v>0</v>
      </c>
      <c r="E8" s="42" t="n">
        <f aca="false">IFERROR(SUMIF('Session Log'!C4:C53,B8,'Session Log'!G4:G53),"-")</f>
        <v>0</v>
      </c>
      <c r="F8" s="43" t="str">
        <f aca="false">IFERROR(maxifs('Session Log'!B4:B53,'Session Log'!C4:C53,B8),"-")</f>
        <v>-</v>
      </c>
      <c r="G8" s="44" t="str">
        <f aca="false">IFERROR(INDEX('Session Log'!F4:F53,MATCH(maxifs('Session Log'!B4:B53,'Session Log'!C4:C53,B8),'Session Log'!B4:B53,0)),"-")</f>
        <v>-</v>
      </c>
    </row>
    <row r="9" customFormat="false" ht="19.5" hidden="false" customHeight="true" outlineLevel="0" collapsed="false">
      <c r="A9" s="15" t="n">
        <v>6</v>
      </c>
      <c r="B9" s="17"/>
      <c r="C9" s="17"/>
      <c r="D9" s="27" t="n">
        <f aca="false">IFERROR(COUNTIF('Session Log'!C4:C53,B9),"-")</f>
        <v>0</v>
      </c>
      <c r="E9" s="45" t="n">
        <f aca="false">IFERROR(SUMIF('Session Log'!C4:C53,B9,'Session Log'!G4:G53),"-")</f>
        <v>0</v>
      </c>
      <c r="F9" s="46" t="str">
        <f aca="false">IFERROR(maxifs('Session Log'!B4:B53,'Session Log'!C4:C53,B9),"-")</f>
        <v>-</v>
      </c>
      <c r="G9" s="47" t="str">
        <f aca="false">IFERROR(INDEX('Session Log'!F4:F53,MATCH(maxifs('Session Log'!B4:B53,'Session Log'!C4:C53,B9),'Session Log'!B4:B53,0)),"-")</f>
        <v>-</v>
      </c>
    </row>
    <row r="10" customFormat="false" ht="19.5" hidden="false" customHeight="true" outlineLevel="0" collapsed="false">
      <c r="A10" s="8" t="n">
        <v>7</v>
      </c>
      <c r="B10" s="10"/>
      <c r="C10" s="10"/>
      <c r="D10" s="32" t="n">
        <f aca="false">IFERROR(COUNTIF('Session Log'!C4:C53,B10),"-")</f>
        <v>0</v>
      </c>
      <c r="E10" s="42" t="n">
        <f aca="false">IFERROR(SUMIF('Session Log'!C4:C53,B10,'Session Log'!G4:G53),"-")</f>
        <v>0</v>
      </c>
      <c r="F10" s="43" t="str">
        <f aca="false">IFERROR(maxifs('Session Log'!B4:B53,'Session Log'!C4:C53,B10),"-")</f>
        <v>-</v>
      </c>
      <c r="G10" s="44" t="str">
        <f aca="false">IFERROR(INDEX('Session Log'!F4:F53,MATCH(maxifs('Session Log'!B4:B53,'Session Log'!C4:C53,B10),'Session Log'!B4:B53,0)),"-")</f>
        <v>-</v>
      </c>
    </row>
    <row r="11" customFormat="false" ht="19.5" hidden="false" customHeight="true" outlineLevel="0" collapsed="false">
      <c r="A11" s="15" t="n">
        <v>8</v>
      </c>
      <c r="B11" s="17"/>
      <c r="C11" s="17"/>
      <c r="D11" s="27" t="n">
        <f aca="false">IFERROR(COUNTIF('Session Log'!C4:C53,B11),"-")</f>
        <v>0</v>
      </c>
      <c r="E11" s="45" t="n">
        <f aca="false">IFERROR(SUMIF('Session Log'!C4:C53,B11,'Session Log'!G4:G53),"-")</f>
        <v>0</v>
      </c>
      <c r="F11" s="46" t="str">
        <f aca="false">IFERROR(maxifs('Session Log'!B4:B53,'Session Log'!C4:C53,B11),"-")</f>
        <v>-</v>
      </c>
      <c r="G11" s="47" t="str">
        <f aca="false">IFERROR(INDEX('Session Log'!F4:F53,MATCH(maxifs('Session Log'!B4:B53,'Session Log'!C4:C53,B11),'Session Log'!B4:B53,0)),"-")</f>
        <v>-</v>
      </c>
    </row>
    <row r="12" customFormat="false" ht="19.5" hidden="false" customHeight="true" outlineLevel="0" collapsed="false">
      <c r="A12" s="8" t="n">
        <v>9</v>
      </c>
      <c r="B12" s="10"/>
      <c r="C12" s="10"/>
      <c r="D12" s="32" t="n">
        <f aca="false">IFERROR(COUNTIF('Session Log'!C4:C53,B12),"-")</f>
        <v>0</v>
      </c>
      <c r="E12" s="42" t="n">
        <f aca="false">IFERROR(SUMIF('Session Log'!C4:C53,B12,'Session Log'!G4:G53),"-")</f>
        <v>0</v>
      </c>
      <c r="F12" s="43" t="str">
        <f aca="false">IFERROR(maxifs('Session Log'!B4:B53,'Session Log'!C4:C53,B12),"-")</f>
        <v>-</v>
      </c>
      <c r="G12" s="44" t="str">
        <f aca="false">IFERROR(INDEX('Session Log'!F4:F53,MATCH(maxifs('Session Log'!B4:B53,'Session Log'!C4:C53,B12),'Session Log'!B4:B53,0)),"-")</f>
        <v>-</v>
      </c>
    </row>
    <row r="13" customFormat="false" ht="19.5" hidden="false" customHeight="true" outlineLevel="0" collapsed="false">
      <c r="A13" s="15" t="n">
        <v>10</v>
      </c>
      <c r="B13" s="17"/>
      <c r="C13" s="17"/>
      <c r="D13" s="27" t="n">
        <f aca="false">IFERROR(COUNTIF('Session Log'!C4:C53,B13),"-")</f>
        <v>0</v>
      </c>
      <c r="E13" s="45" t="n">
        <f aca="false">IFERROR(SUMIF('Session Log'!C4:C53,B13,'Session Log'!G4:G53),"-")</f>
        <v>0</v>
      </c>
      <c r="F13" s="46" t="str">
        <f aca="false">IFERROR(maxifs('Session Log'!B4:B53,'Session Log'!C4:C53,B13),"-")</f>
        <v>-</v>
      </c>
      <c r="G13" s="47" t="str">
        <f aca="false">IFERROR(INDEX('Session Log'!F4:F53,MATCH(maxifs('Session Log'!B4:B53,'Session Log'!C4:C53,B13),'Session Log'!B4:B53,0)),"-")</f>
        <v>-</v>
      </c>
    </row>
    <row r="14" customFormat="false" ht="19.5" hidden="false" customHeight="true" outlineLevel="0" collapsed="false">
      <c r="A14" s="8" t="n">
        <v>11</v>
      </c>
      <c r="B14" s="10"/>
      <c r="C14" s="10"/>
      <c r="D14" s="32" t="n">
        <f aca="false">IFERROR(COUNTIF('Session Log'!C4:C53,B14),"-")</f>
        <v>0</v>
      </c>
      <c r="E14" s="42" t="n">
        <f aca="false">IFERROR(SUMIF('Session Log'!C4:C53,B14,'Session Log'!G4:G53),"-")</f>
        <v>0</v>
      </c>
      <c r="F14" s="43" t="str">
        <f aca="false">IFERROR(maxifs('Session Log'!B4:B53,'Session Log'!C4:C53,B14),"-")</f>
        <v>-</v>
      </c>
      <c r="G14" s="44" t="str">
        <f aca="false">IFERROR(INDEX('Session Log'!F4:F53,MATCH(maxifs('Session Log'!B4:B53,'Session Log'!C4:C53,B14),'Session Log'!B4:B53,0)),"-")</f>
        <v>-</v>
      </c>
    </row>
    <row r="15" customFormat="false" ht="19.5" hidden="false" customHeight="true" outlineLevel="0" collapsed="false">
      <c r="A15" s="15" t="n">
        <v>12</v>
      </c>
      <c r="B15" s="17"/>
      <c r="C15" s="17"/>
      <c r="D15" s="27" t="n">
        <f aca="false">IFERROR(COUNTIF('Session Log'!C4:C53,B15),"-")</f>
        <v>0</v>
      </c>
      <c r="E15" s="45" t="n">
        <f aca="false">IFERROR(SUMIF('Session Log'!C4:C53,B15,'Session Log'!G4:G53),"-")</f>
        <v>0</v>
      </c>
      <c r="F15" s="46" t="str">
        <f aca="false">IFERROR(maxifs('Session Log'!B4:B53,'Session Log'!C4:C53,B15),"-")</f>
        <v>-</v>
      </c>
      <c r="G15" s="47" t="str">
        <f aca="false">IFERROR(INDEX('Session Log'!F4:F53,MATCH(maxifs('Session Log'!B4:B53,'Session Log'!C4:C53,B15),'Session Log'!B4:B53,0)),"-")</f>
        <v>-</v>
      </c>
    </row>
    <row r="16" customFormat="false" ht="19.5" hidden="false" customHeight="true" outlineLevel="0" collapsed="false">
      <c r="A16" s="8" t="n">
        <v>13</v>
      </c>
      <c r="B16" s="10"/>
      <c r="C16" s="10"/>
      <c r="D16" s="32" t="n">
        <f aca="false">IFERROR(COUNTIF('Session Log'!C4:C53,B16),"-")</f>
        <v>0</v>
      </c>
      <c r="E16" s="42" t="n">
        <f aca="false">IFERROR(SUMIF('Session Log'!C4:C53,B16,'Session Log'!G4:G53),"-")</f>
        <v>0</v>
      </c>
      <c r="F16" s="43" t="str">
        <f aca="false">IFERROR(maxifs('Session Log'!B4:B53,'Session Log'!C4:C53,B16),"-")</f>
        <v>-</v>
      </c>
      <c r="G16" s="44" t="str">
        <f aca="false">IFERROR(INDEX('Session Log'!F4:F53,MATCH(maxifs('Session Log'!B4:B53,'Session Log'!C4:C53,B16),'Session Log'!B4:B53,0)),"-")</f>
        <v>-</v>
      </c>
    </row>
    <row r="17" customFormat="false" ht="19.5" hidden="false" customHeight="true" outlineLevel="0" collapsed="false">
      <c r="A17" s="15" t="n">
        <v>14</v>
      </c>
      <c r="B17" s="17"/>
      <c r="C17" s="17"/>
      <c r="D17" s="27" t="n">
        <f aca="false">IFERROR(COUNTIF('Session Log'!C4:C53,B17),"-")</f>
        <v>0</v>
      </c>
      <c r="E17" s="45" t="n">
        <f aca="false">IFERROR(SUMIF('Session Log'!C4:C53,B17,'Session Log'!G4:G53),"-")</f>
        <v>0</v>
      </c>
      <c r="F17" s="46" t="str">
        <f aca="false">IFERROR(maxifs('Session Log'!B4:B53,'Session Log'!C4:C53,B17),"-")</f>
        <v>-</v>
      </c>
      <c r="G17" s="47" t="str">
        <f aca="false">IFERROR(INDEX('Session Log'!F4:F53,MATCH(maxifs('Session Log'!B4:B53,'Session Log'!C4:C53,B17),'Session Log'!B4:B53,0)),"-")</f>
        <v>-</v>
      </c>
    </row>
    <row r="18" customFormat="false" ht="19.5" hidden="false" customHeight="true" outlineLevel="0" collapsed="false">
      <c r="A18" s="8" t="n">
        <v>15</v>
      </c>
      <c r="B18" s="10"/>
      <c r="C18" s="10"/>
      <c r="D18" s="32" t="n">
        <f aca="false">IFERROR(COUNTIF('Session Log'!C4:C53,B18),"-")</f>
        <v>0</v>
      </c>
      <c r="E18" s="42" t="n">
        <f aca="false">IFERROR(SUMIF('Session Log'!C4:C53,B18,'Session Log'!G4:G53),"-")</f>
        <v>0</v>
      </c>
      <c r="F18" s="43" t="str">
        <f aca="false">IFERROR(maxifs('Session Log'!B4:B53,'Session Log'!C4:C53,B18),"-")</f>
        <v>-</v>
      </c>
      <c r="G18" s="44" t="str">
        <f aca="false">IFERROR(INDEX('Session Log'!F4:F53,MATCH(maxifs('Session Log'!B4:B53,'Session Log'!C4:C53,B18),'Session Log'!B4:B53,0)),"-")</f>
        <v>-</v>
      </c>
    </row>
    <row r="19" customFormat="false" ht="19.5" hidden="false" customHeight="true" outlineLevel="0" collapsed="false">
      <c r="A19" s="15" t="n">
        <v>16</v>
      </c>
      <c r="B19" s="17"/>
      <c r="C19" s="17"/>
      <c r="D19" s="27" t="n">
        <f aca="false">IFERROR(COUNTIF('Session Log'!C4:C53,B19),"-")</f>
        <v>0</v>
      </c>
      <c r="E19" s="45" t="n">
        <f aca="false">IFERROR(SUMIF('Session Log'!C4:C53,B19,'Session Log'!G4:G53),"-")</f>
        <v>0</v>
      </c>
      <c r="F19" s="46" t="str">
        <f aca="false">IFERROR(maxifs('Session Log'!B4:B53,'Session Log'!C4:C53,B19),"-")</f>
        <v>-</v>
      </c>
      <c r="G19" s="47" t="str">
        <f aca="false">IFERROR(INDEX('Session Log'!F4:F53,MATCH(maxifs('Session Log'!B4:B53,'Session Log'!C4:C53,B19),'Session Log'!B4:B53,0)),"-")</f>
        <v>-</v>
      </c>
    </row>
    <row r="20" customFormat="false" ht="19.5" hidden="false" customHeight="true" outlineLevel="0" collapsed="false">
      <c r="A20" s="8" t="n">
        <v>17</v>
      </c>
      <c r="B20" s="10"/>
      <c r="C20" s="10"/>
      <c r="D20" s="32" t="n">
        <f aca="false">IFERROR(COUNTIF('Session Log'!C4:C53,B20),"-")</f>
        <v>0</v>
      </c>
      <c r="E20" s="42" t="n">
        <f aca="false">IFERROR(SUMIF('Session Log'!C4:C53,B20,'Session Log'!G4:G53),"-")</f>
        <v>0</v>
      </c>
      <c r="F20" s="43" t="str">
        <f aca="false">IFERROR(maxifs('Session Log'!B4:B53,'Session Log'!C4:C53,B20),"-")</f>
        <v>-</v>
      </c>
      <c r="G20" s="44" t="str">
        <f aca="false">IFERROR(INDEX('Session Log'!F4:F53,MATCH(maxifs('Session Log'!B4:B53,'Session Log'!C4:C53,B20),'Session Log'!B4:B53,0)),"-")</f>
        <v>-</v>
      </c>
    </row>
    <row r="21" customFormat="false" ht="19.5" hidden="false" customHeight="true" outlineLevel="0" collapsed="false">
      <c r="A21" s="15" t="n">
        <v>18</v>
      </c>
      <c r="B21" s="17"/>
      <c r="C21" s="17"/>
      <c r="D21" s="27" t="n">
        <f aca="false">IFERROR(COUNTIF('Session Log'!C4:C53,B21),"-")</f>
        <v>0</v>
      </c>
      <c r="E21" s="45" t="n">
        <f aca="false">IFERROR(SUMIF('Session Log'!C4:C53,B21,'Session Log'!G4:G53),"-")</f>
        <v>0</v>
      </c>
      <c r="F21" s="46" t="str">
        <f aca="false">IFERROR(maxifs('Session Log'!B4:B53,'Session Log'!C4:C53,B21),"-")</f>
        <v>-</v>
      </c>
      <c r="G21" s="47" t="str">
        <f aca="false">IFERROR(INDEX('Session Log'!F4:F53,MATCH(maxifs('Session Log'!B4:B53,'Session Log'!C4:C53,B21),'Session Log'!B4:B53,0)),"-")</f>
        <v>-</v>
      </c>
    </row>
    <row r="22" customFormat="false" ht="19.5" hidden="false" customHeight="true" outlineLevel="0" collapsed="false">
      <c r="A22" s="8" t="n">
        <v>19</v>
      </c>
      <c r="B22" s="10"/>
      <c r="C22" s="10"/>
      <c r="D22" s="32" t="n">
        <f aca="false">IFERROR(COUNTIF('Session Log'!C4:C53,B22),"-")</f>
        <v>0</v>
      </c>
      <c r="E22" s="42" t="n">
        <f aca="false">IFERROR(SUMIF('Session Log'!C4:C53,B22,'Session Log'!G4:G53),"-")</f>
        <v>0</v>
      </c>
      <c r="F22" s="43" t="str">
        <f aca="false">IFERROR(maxifs('Session Log'!B4:B53,'Session Log'!C4:C53,B22),"-")</f>
        <v>-</v>
      </c>
      <c r="G22" s="44" t="str">
        <f aca="false">IFERROR(INDEX('Session Log'!F4:F53,MATCH(maxifs('Session Log'!B4:B53,'Session Log'!C4:C53,B22),'Session Log'!B4:B53,0)),"-")</f>
        <v>-</v>
      </c>
    </row>
    <row r="23" customFormat="false" ht="19.5" hidden="false" customHeight="true" outlineLevel="0" collapsed="false">
      <c r="A23" s="15" t="n">
        <v>20</v>
      </c>
      <c r="B23" s="17"/>
      <c r="C23" s="17"/>
      <c r="D23" s="27" t="n">
        <f aca="false">IFERROR(COUNTIF('Session Log'!C4:C53,B23),"-")</f>
        <v>0</v>
      </c>
      <c r="E23" s="45" t="n">
        <f aca="false">IFERROR(SUMIF('Session Log'!C4:C53,B23,'Session Log'!G4:G53),"-")</f>
        <v>0</v>
      </c>
      <c r="F23" s="46" t="str">
        <f aca="false">IFERROR(maxifs('Session Log'!B4:B53,'Session Log'!C4:C53,B23),"-")</f>
        <v>-</v>
      </c>
      <c r="G23" s="47" t="str">
        <f aca="false">IFERROR(INDEX('Session Log'!F4:F53,MATCH(maxifs('Session Log'!B4:B53,'Session Log'!C4:C53,B23),'Session Log'!B4:B53,0)),"-")</f>
        <v>-</v>
      </c>
    </row>
    <row r="24" customFormat="false" ht="19.5" hidden="false" customHeight="true" outlineLevel="0" collapsed="false">
      <c r="A24" s="8" t="n">
        <v>21</v>
      </c>
      <c r="B24" s="10"/>
      <c r="C24" s="10"/>
      <c r="D24" s="32" t="n">
        <f aca="false">IFERROR(COUNTIF('Session Log'!C4:C53,B24),"-")</f>
        <v>0</v>
      </c>
      <c r="E24" s="42" t="n">
        <f aca="false">IFERROR(SUMIF('Session Log'!C4:C53,B24,'Session Log'!G4:G53),"-")</f>
        <v>0</v>
      </c>
      <c r="F24" s="43" t="str">
        <f aca="false">IFERROR(maxifs('Session Log'!B4:B53,'Session Log'!C4:C53,B24),"-")</f>
        <v>-</v>
      </c>
      <c r="G24" s="44" t="str">
        <f aca="false">IFERROR(INDEX('Session Log'!F4:F53,MATCH(maxifs('Session Log'!B4:B53,'Session Log'!C4:C53,B24),'Session Log'!B4:B53,0)),"-")</f>
        <v>-</v>
      </c>
    </row>
    <row r="25" customFormat="false" ht="19.5" hidden="false" customHeight="true" outlineLevel="0" collapsed="false">
      <c r="A25" s="15" t="n">
        <v>22</v>
      </c>
      <c r="B25" s="17"/>
      <c r="C25" s="17"/>
      <c r="D25" s="27" t="n">
        <f aca="false">IFERROR(COUNTIF('Session Log'!C4:C53,B25),"-")</f>
        <v>0</v>
      </c>
      <c r="E25" s="45" t="n">
        <f aca="false">IFERROR(SUMIF('Session Log'!C4:C53,B25,'Session Log'!G4:G53),"-")</f>
        <v>0</v>
      </c>
      <c r="F25" s="46" t="str">
        <f aca="false">IFERROR(maxifs('Session Log'!B4:B53,'Session Log'!C4:C53,B25),"-")</f>
        <v>-</v>
      </c>
      <c r="G25" s="47" t="str">
        <f aca="false">IFERROR(INDEX('Session Log'!F4:F53,MATCH(maxifs('Session Log'!B4:B53,'Session Log'!C4:C53,B25),'Session Log'!B4:B53,0)),"-")</f>
        <v>-</v>
      </c>
    </row>
    <row r="26" customFormat="false" ht="19.5" hidden="false" customHeight="true" outlineLevel="0" collapsed="false">
      <c r="A26" s="8" t="n">
        <v>23</v>
      </c>
      <c r="B26" s="10"/>
      <c r="C26" s="10"/>
      <c r="D26" s="32" t="n">
        <f aca="false">IFERROR(COUNTIF('Session Log'!C4:C53,B26),"-")</f>
        <v>0</v>
      </c>
      <c r="E26" s="42" t="n">
        <f aca="false">IFERROR(SUMIF('Session Log'!C4:C53,B26,'Session Log'!G4:G53),"-")</f>
        <v>0</v>
      </c>
      <c r="F26" s="43" t="str">
        <f aca="false">IFERROR(maxifs('Session Log'!B4:B53,'Session Log'!C4:C53,B26),"-")</f>
        <v>-</v>
      </c>
      <c r="G26" s="44" t="str">
        <f aca="false">IFERROR(INDEX('Session Log'!F4:F53,MATCH(maxifs('Session Log'!B4:B53,'Session Log'!C4:C53,B26),'Session Log'!B4:B53,0)),"-")</f>
        <v>-</v>
      </c>
    </row>
    <row r="27" customFormat="false" ht="19.5" hidden="false" customHeight="true" outlineLevel="0" collapsed="false">
      <c r="A27" s="15" t="n">
        <v>24</v>
      </c>
      <c r="B27" s="17"/>
      <c r="C27" s="17"/>
      <c r="D27" s="27" t="n">
        <f aca="false">IFERROR(COUNTIF('Session Log'!C4:C53,B27),"-")</f>
        <v>0</v>
      </c>
      <c r="E27" s="45" t="n">
        <f aca="false">IFERROR(SUMIF('Session Log'!C4:C53,B27,'Session Log'!G4:G53),"-")</f>
        <v>0</v>
      </c>
      <c r="F27" s="46" t="str">
        <f aca="false">IFERROR(maxifs('Session Log'!B4:B53,'Session Log'!C4:C53,B27),"-")</f>
        <v>-</v>
      </c>
      <c r="G27" s="47" t="str">
        <f aca="false">IFERROR(INDEX('Session Log'!F4:F53,MATCH(maxifs('Session Log'!B4:B53,'Session Log'!C4:C53,B27),'Session Log'!B4:B53,0)),"-")</f>
        <v>-</v>
      </c>
    </row>
    <row r="28" customFormat="false" ht="19.5" hidden="false" customHeight="true" outlineLevel="0" collapsed="false">
      <c r="A28" s="8" t="n">
        <v>25</v>
      </c>
      <c r="B28" s="10"/>
      <c r="C28" s="10"/>
      <c r="D28" s="32" t="n">
        <f aca="false">IFERROR(COUNTIF('Session Log'!C4:C53,B28),"-")</f>
        <v>0</v>
      </c>
      <c r="E28" s="42" t="n">
        <f aca="false">IFERROR(SUMIF('Session Log'!C4:C53,B28,'Session Log'!G4:G53),"-")</f>
        <v>0</v>
      </c>
      <c r="F28" s="43" t="str">
        <f aca="false">IFERROR(maxifs('Session Log'!B4:B53,'Session Log'!C4:C53,B28),"-")</f>
        <v>-</v>
      </c>
      <c r="G28" s="44" t="str">
        <f aca="false">IFERROR(INDEX('Session Log'!F4:F53,MATCH(maxifs('Session Log'!B4:B53,'Session Log'!C4:C53,B28),'Session Log'!B4:B53,0)),"-")</f>
        <v>-</v>
      </c>
    </row>
    <row r="29" customFormat="false" ht="19.5" hidden="false" customHeight="true" outlineLevel="0" collapsed="false">
      <c r="A29" s="15" t="n">
        <v>26</v>
      </c>
      <c r="B29" s="17"/>
      <c r="C29" s="17"/>
      <c r="D29" s="27" t="n">
        <f aca="false">IFERROR(COUNTIF('Session Log'!C4:C53,B29),"-")</f>
        <v>0</v>
      </c>
      <c r="E29" s="45" t="n">
        <f aca="false">IFERROR(SUMIF('Session Log'!C4:C53,B29,'Session Log'!G4:G53),"-")</f>
        <v>0</v>
      </c>
      <c r="F29" s="46" t="str">
        <f aca="false">IFERROR(maxifs('Session Log'!B4:B53,'Session Log'!C4:C53,B29),"-")</f>
        <v>-</v>
      </c>
      <c r="G29" s="47" t="str">
        <f aca="false">IFERROR(INDEX('Session Log'!F4:F53,MATCH(maxifs('Session Log'!B4:B53,'Session Log'!C4:C53,B29),'Session Log'!B4:B53,0)),"-")</f>
        <v>-</v>
      </c>
    </row>
    <row r="30" customFormat="false" ht="19.5" hidden="false" customHeight="true" outlineLevel="0" collapsed="false">
      <c r="A30" s="8" t="n">
        <v>27</v>
      </c>
      <c r="B30" s="10"/>
      <c r="C30" s="10"/>
      <c r="D30" s="32" t="n">
        <f aca="false">IFERROR(COUNTIF('Session Log'!C4:C53,B30),"-")</f>
        <v>0</v>
      </c>
      <c r="E30" s="42" t="n">
        <f aca="false">IFERROR(SUMIF('Session Log'!C4:C53,B30,'Session Log'!G4:G53),"-")</f>
        <v>0</v>
      </c>
      <c r="F30" s="43" t="str">
        <f aca="false">IFERROR(maxifs('Session Log'!B4:B53,'Session Log'!C4:C53,B30),"-")</f>
        <v>-</v>
      </c>
      <c r="G30" s="44" t="str">
        <f aca="false">IFERROR(INDEX('Session Log'!F4:F53,MATCH(maxifs('Session Log'!B4:B53,'Session Log'!C4:C53,B30),'Session Log'!B4:B53,0)),"-")</f>
        <v>-</v>
      </c>
    </row>
    <row r="31" customFormat="false" ht="19.5" hidden="false" customHeight="true" outlineLevel="0" collapsed="false">
      <c r="A31" s="15" t="n">
        <v>28</v>
      </c>
      <c r="B31" s="17"/>
      <c r="C31" s="17"/>
      <c r="D31" s="27" t="n">
        <f aca="false">IFERROR(COUNTIF('Session Log'!C4:C53,B31),"-")</f>
        <v>0</v>
      </c>
      <c r="E31" s="45" t="n">
        <f aca="false">IFERROR(SUMIF('Session Log'!C4:C53,B31,'Session Log'!G4:G53),"-")</f>
        <v>0</v>
      </c>
      <c r="F31" s="46" t="str">
        <f aca="false">IFERROR(maxifs('Session Log'!B4:B53,'Session Log'!C4:C53,B31),"-")</f>
        <v>-</v>
      </c>
      <c r="G31" s="47" t="str">
        <f aca="false">IFERROR(INDEX('Session Log'!F4:F53,MATCH(maxifs('Session Log'!B4:B53,'Session Log'!C4:C53,B31),'Session Log'!B4:B53,0)),"-")</f>
        <v>-</v>
      </c>
    </row>
    <row r="32" customFormat="false" ht="19.5" hidden="false" customHeight="true" outlineLevel="0" collapsed="false">
      <c r="A32" s="8" t="n">
        <v>29</v>
      </c>
      <c r="B32" s="10"/>
      <c r="C32" s="10"/>
      <c r="D32" s="32" t="n">
        <f aca="false">IFERROR(COUNTIF('Session Log'!C4:C53,B32),"-")</f>
        <v>0</v>
      </c>
      <c r="E32" s="42" t="n">
        <f aca="false">IFERROR(SUMIF('Session Log'!C4:C53,B32,'Session Log'!G4:G53),"-")</f>
        <v>0</v>
      </c>
      <c r="F32" s="43" t="str">
        <f aca="false">IFERROR(maxifs('Session Log'!B4:B53,'Session Log'!C4:C53,B32),"-")</f>
        <v>-</v>
      </c>
      <c r="G32" s="44" t="str">
        <f aca="false">IFERROR(INDEX('Session Log'!F4:F53,MATCH(maxifs('Session Log'!B4:B53,'Session Log'!C4:C53,B32),'Session Log'!B4:B53,0)),"-")</f>
        <v>-</v>
      </c>
    </row>
    <row r="33" customFormat="false" ht="19.5" hidden="false" customHeight="true" outlineLevel="0" collapsed="false">
      <c r="A33" s="15" t="n">
        <v>30</v>
      </c>
      <c r="B33" s="17"/>
      <c r="C33" s="17"/>
      <c r="D33" s="27" t="n">
        <f aca="false">IFERROR(COUNTIF('Session Log'!C4:C53,B33),"-")</f>
        <v>0</v>
      </c>
      <c r="E33" s="45" t="n">
        <f aca="false">IFERROR(SUMIF('Session Log'!C4:C53,B33,'Session Log'!G4:G53),"-")</f>
        <v>0</v>
      </c>
      <c r="F33" s="46" t="str">
        <f aca="false">IFERROR(maxifs('Session Log'!B4:B53,'Session Log'!C4:C53,B33),"-")</f>
        <v>-</v>
      </c>
      <c r="G33" s="47" t="str">
        <f aca="false">IFERROR(INDEX('Session Log'!F4:F53,MATCH(maxifs('Session Log'!B4:B53,'Session Log'!C4:C53,B33),'Session Log'!B4:B53,0)),"-")</f>
        <v>-</v>
      </c>
    </row>
    <row r="34" customFormat="false" ht="21.75" hidden="false" customHeight="true" outlineLevel="0" collapsed="false">
      <c r="A34" s="22" t="s">
        <v>48</v>
      </c>
      <c r="B34" s="22"/>
      <c r="C34" s="22"/>
      <c r="D34" s="37" t="n">
        <f aca="false">SUM(D4:D33)</f>
        <v>0</v>
      </c>
      <c r="E34" s="23" t="n">
        <f aca="false">SUM(E4:E33)</f>
        <v>0</v>
      </c>
      <c r="F34" s="24" t="s">
        <v>49</v>
      </c>
      <c r="G34" s="24"/>
    </row>
  </sheetData>
  <mergeCells count="4">
    <mergeCell ref="A1:G1"/>
    <mergeCell ref="A2:G2"/>
    <mergeCell ref="A34:C34"/>
    <mergeCell ref="F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2026-04-13T04:12:56Z</dcterms:created>
  <dc:creator>openpyxl</dc:creator>
  <dc:description/>
  <dc:language>en-US</dc:language>
  <cp:lastModifiedBy/>
  <dcterms:modified xsi:type="dcterms:W3CDTF">2026-04-13T04:12:56Z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