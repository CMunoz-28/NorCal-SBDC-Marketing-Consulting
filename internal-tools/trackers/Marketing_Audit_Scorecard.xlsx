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udit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<sst xmlns="http://schemas.openxmlformats.org/spreadsheetml/2006/main" count="220" uniqueCount="171">
  <si>
    <t xml:space="preserve">MARKETING AUDIT SCORECARD  |  NorCal SBDC</t>
  </si>
  <si>
    <t xml:space="preserve">PURPOSE</t>
  </si>
  <si>
    <t xml:space="preserve">This scorecard gives you a structured, data-informed baseline of a client's current marketing</t>
  </si>
  <si>
    <t xml:space="preserve">across 8 dimensions. Use it during or after your first session.</t>
  </si>
  <si>
    <t xml:space="preserve">HOW TO SCORE</t>
  </si>
  <si>
    <t xml:space="preserve">Score</t>
  </si>
  <si>
    <t xml:space="preserve">Meaning</t>
  </si>
  <si>
    <t xml:space="preserve">0</t>
  </si>
  <si>
    <t xml:space="preserve">Not present / never done</t>
  </si>
  <si>
    <t xml:space="preserve">1</t>
  </si>
  <si>
    <t xml:space="preserve">Minimal / very basic attempt</t>
  </si>
  <si>
    <t xml:space="preserve">2</t>
  </si>
  <si>
    <t xml:space="preserve">Partially in place — needs work</t>
  </si>
  <si>
    <t xml:space="preserve">3</t>
  </si>
  <si>
    <t xml:space="preserve">Solid but could be improved</t>
  </si>
  <si>
    <t xml:space="preserve">4</t>
  </si>
  <si>
    <t xml:space="preserve">Well done — strong execution</t>
  </si>
  <si>
    <t xml:space="preserve">5</t>
  </si>
  <si>
    <t xml:space="preserve">Excellent — best practice level</t>
  </si>
  <si>
    <t xml:space="preserve">WORKFLOW</t>
  </si>
  <si>
    <t xml:space="preserve">Step 1</t>
  </si>
  <si>
    <t xml:space="preserve">Fill in client info at the top of the Audit tab</t>
  </si>
  <si>
    <t xml:space="preserve">Step 2</t>
  </si>
  <si>
    <t xml:space="preserve">Score each criterion 0–5 using the drop-down</t>
  </si>
  <si>
    <t xml:space="preserve">Step 3</t>
  </si>
  <si>
    <t xml:space="preserve">Add notes on what you observed or the client shared</t>
  </si>
  <si>
    <t xml:space="preserve">Step 4</t>
  </si>
  <si>
    <t xml:space="preserve">Review the Dashboard tab for auto-calculated scores</t>
  </si>
  <si>
    <t xml:space="preserve">Step 5</t>
  </si>
  <si>
    <t xml:space="preserve">Use the Priority column to flag the top 3 areas to work on</t>
  </si>
  <si>
    <t xml:space="preserve">SCORE INTERPRETATION (Dashboard)</t>
  </si>
  <si>
    <t xml:space="preserve">0–39%</t>
  </si>
  <si>
    <t xml:space="preserve">Critical — foundational gaps, start from scratch</t>
  </si>
  <si>
    <t xml:space="preserve">40–59%</t>
  </si>
  <si>
    <t xml:space="preserve">Developing — basic presence, needs strategic work</t>
  </si>
  <si>
    <t xml:space="preserve">60–74%</t>
  </si>
  <si>
    <t xml:space="preserve">Functional — decent foundation, optimize &amp; expand</t>
  </si>
  <si>
    <t xml:space="preserve">75–89%</t>
  </si>
  <si>
    <t xml:space="preserve">Strong — well-rounded, focus on highest-impact gaps</t>
  </si>
  <si>
    <t xml:space="preserve">90–100%</t>
  </si>
  <si>
    <t xml:space="preserve">Advanced — maintain and innovate</t>
  </si>
  <si>
    <t xml:space="preserve">Client / Business:</t>
  </si>
  <si>
    <t xml:space="preserve">Advisor:</t>
  </si>
  <si>
    <t xml:space="preserve">Date:</t>
  </si>
  <si>
    <t xml:space="preserve">Industry:</t>
  </si>
  <si>
    <t xml:space="preserve">#</t>
  </si>
  <si>
    <t xml:space="preserve">Criterion</t>
  </si>
  <si>
    <t xml:space="preserve">Advisor Guidance</t>
  </si>
  <si>
    <t xml:space="preserve">Score
(0–5)</t>
  </si>
  <si>
    <t xml:space="preserve">Max</t>
  </si>
  <si>
    <t xml:space="preserve">Priority</t>
  </si>
  <si>
    <t xml:space="preserve">Notes / Observations</t>
  </si>
  <si>
    <t xml:space="preserve">  1. Website &amp; Online Presence</t>
  </si>
  <si>
    <t xml:space="preserve">Website exists and is mobile-friendly</t>
  </si>
  <si>
    <t xml:space="preserve">Check on phone — loads fast, easy to navigate?</t>
  </si>
  <si>
    <t xml:space="preserve">—</t>
  </si>
  <si>
    <t xml:space="preserve">Website clearly explains what they sell</t>
  </si>
  <si>
    <t xml:space="preserve">Can a stranger understand in 10 seconds?</t>
  </si>
  <si>
    <t xml:space="preserve">Clear call-to-action on homepage</t>
  </si>
  <si>
    <t xml:space="preserve">Phone number, contact form, buy now, book, etc.</t>
  </si>
  <si>
    <t xml:space="preserve">Website has been updated in the last 6 months</t>
  </si>
  <si>
    <t xml:space="preserve">Check blog, products, hours, or news section</t>
  </si>
  <si>
    <t xml:space="preserve">SSL certificate / secure site (https://)</t>
  </si>
  <si>
    <t xml:space="preserve">Lock icon in browser bar — essential for trust</t>
  </si>
  <si>
    <t xml:space="preserve">  1. Website &amp; Online Presence  —  Subtotal</t>
  </si>
  <si>
    <t xml:space="preserve">  2. Search Engine Optimization (SEO)</t>
  </si>
  <si>
    <t xml:space="preserve">Google Business Profile is claimed &amp; complete</t>
  </si>
  <si>
    <t xml:space="preserve">Hours, photos, description, category all filled in</t>
  </si>
  <si>
    <t xml:space="preserve">Business shows in local search results</t>
  </si>
  <si>
    <t xml:space="preserve">Search "[business type] near [city]" — do they appear?</t>
  </si>
  <si>
    <t xml:space="preserve">Website has basic on-page SEO</t>
  </si>
  <si>
    <t xml:space="preserve">Title tags, meta descriptions, keyword usage</t>
  </si>
  <si>
    <t xml:space="preserve">Customer reviews present on Google / Yelp</t>
  </si>
  <si>
    <t xml:space="preserve">10+ reviews with a 4.0+ average is a good benchmark</t>
  </si>
  <si>
    <t xml:space="preserve">NAP consistency (Name, Address, Phone)</t>
  </si>
  <si>
    <t xml:space="preserve">Same info across Google, Yelp, website, social</t>
  </si>
  <si>
    <t xml:space="preserve">  2. Search Engine Optimization (SEO)  —  Subtotal</t>
  </si>
  <si>
    <t xml:space="preserve">  3. Social Media</t>
  </si>
  <si>
    <t xml:space="preserve">Active on at least one platform</t>
  </si>
  <si>
    <t xml:space="preserve">Posted in the last 30 days?</t>
  </si>
  <si>
    <t xml:space="preserve">Profile is complete with bio and contact info</t>
  </si>
  <si>
    <t xml:space="preserve">Photo, description, link to website</t>
  </si>
  <si>
    <t xml:space="preserve">Content is relevant to their target audience</t>
  </si>
  <si>
    <t xml:space="preserve">Would their ideal customer find it valuable?</t>
  </si>
  <si>
    <t xml:space="preserve">Engagement rate is reasonable</t>
  </si>
  <si>
    <t xml:space="preserve">Likes/comments relative to follower count — not ghost followers</t>
  </si>
  <si>
    <t xml:space="preserve">Consistent posting frequency</t>
  </si>
  <si>
    <t xml:space="preserve">At least 1–2x per week on primary platform</t>
  </si>
  <si>
    <t xml:space="preserve">  3. Social Media  —  Subtotal</t>
  </si>
  <si>
    <t xml:space="preserve">  4. Email Marketing</t>
  </si>
  <si>
    <t xml:space="preserve">Email list exists (any size)</t>
  </si>
  <si>
    <t xml:space="preserve">Even a small list is an owned asset — no list = 0</t>
  </si>
  <si>
    <t xml:space="preserve">Sends emails at least monthly</t>
  </si>
  <si>
    <t xml:space="preserve">Consistency matters more than frequency</t>
  </si>
  <si>
    <t xml:space="preserve">Emails have clear subject lines &amp; CTA</t>
  </si>
  <si>
    <t xml:space="preserve">Would you open this? Is there one clear next step?</t>
  </si>
  <si>
    <t xml:space="preserve">Unsubscribe and legal compliance in place</t>
  </si>
  <si>
    <t xml:space="preserve">CAN-SPAM / GDPR basics — unsubscribe link present</t>
  </si>
  <si>
    <t xml:space="preserve">Tracks open rates or click rates</t>
  </si>
  <si>
    <t xml:space="preserve">Any platform shows this — do they review it?</t>
  </si>
  <si>
    <t xml:space="preserve">  4. Email Marketing  —  Subtotal</t>
  </si>
  <si>
    <t xml:space="preserve">  5. Content &amp; Messaging</t>
  </si>
  <si>
    <t xml:space="preserve">Clear and consistent brand voice</t>
  </si>
  <si>
    <t xml:space="preserve">Same tone across website, social, email, in-person</t>
  </si>
  <si>
    <t xml:space="preserve">Unique value proposition is defined</t>
  </si>
  <si>
    <t xml:space="preserve">Can they state it in one sentence?</t>
  </si>
  <si>
    <t xml:space="preserve">Customer testimonials or social proof visible</t>
  </si>
  <si>
    <t xml:space="preserve">Reviews, case studies, before/after, logos</t>
  </si>
  <si>
    <t xml:space="preserve">Content addresses customer pain points</t>
  </si>
  <si>
    <t xml:space="preserve">Does their messaging speak to what customers need?</t>
  </si>
  <si>
    <t xml:space="preserve">Visual identity is consistent</t>
  </si>
  <si>
    <t xml:space="preserve">Logo, colors, fonts used the same way everywhere</t>
  </si>
  <si>
    <t xml:space="preserve">  5. Content &amp; Messaging  —  Subtotal</t>
  </si>
  <si>
    <t xml:space="preserve">  6. Paid Advertising</t>
  </si>
  <si>
    <t xml:space="preserve">Has run or is running paid ads</t>
  </si>
  <si>
    <t xml:space="preserve">Google, Meta, Yelp, or other platforms</t>
  </si>
  <si>
    <t xml:space="preserve">Ads target a specific audience</t>
  </si>
  <si>
    <t xml:space="preserve">Not just boosting random posts — intentional targeting</t>
  </si>
  <si>
    <t xml:space="preserve">Landing pages match ad messaging</t>
  </si>
  <si>
    <t xml:space="preserve">Clicks from an ad go to a relevant, specific page</t>
  </si>
  <si>
    <t xml:space="preserve">Tracks conversions or ROI from ads</t>
  </si>
  <si>
    <t xml:space="preserve">Knows what they're spending and what they're getting</t>
  </si>
  <si>
    <t xml:space="preserve">Ad creative is professional and on-brand</t>
  </si>
  <si>
    <t xml:space="preserve">Images, copy, and offer feel intentional</t>
  </si>
  <si>
    <t xml:space="preserve">  6. Paid Advertising  —  Subtotal</t>
  </si>
  <si>
    <t xml:space="preserve">  7. Customer Retention &amp; Loyalty</t>
  </si>
  <si>
    <t xml:space="preserve">Has a repeat customer strategy</t>
  </si>
  <si>
    <t xml:space="preserve">Loyalty program, follow-up emails, retargeting</t>
  </si>
  <si>
    <t xml:space="preserve">Responds to reviews (Google / Yelp)</t>
  </si>
  <si>
    <t xml:space="preserve">Engaging with reviewers — positive and negative</t>
  </si>
  <si>
    <t xml:space="preserve">Collects customer feedback</t>
  </si>
  <si>
    <t xml:space="preserve">Surveys, reviews, or informal check-ins</t>
  </si>
  <si>
    <t xml:space="preserve">Has a referral or word-of-mouth strategy</t>
  </si>
  <si>
    <t xml:space="preserve">Asks for referrals, has incentives, or tracks it</t>
  </si>
  <si>
    <t xml:space="preserve">Knows customer lifetime value (CLV)</t>
  </si>
  <si>
    <t xml:space="preserve">Rough idea of how much a customer is worth over time</t>
  </si>
  <si>
    <t xml:space="preserve">  7. Customer Retention &amp; Loyalty  —  Subtotal</t>
  </si>
  <si>
    <t xml:space="preserve">  8. Analytics &amp; Measurement</t>
  </si>
  <si>
    <t xml:space="preserve">Google Analytics or equivalent installed</t>
  </si>
  <si>
    <t xml:space="preserve">Any tracking on the website?</t>
  </si>
  <si>
    <t xml:space="preserve">Monitors website traffic regularly</t>
  </si>
  <si>
    <t xml:space="preserve">Checks it at least monthly — knows trends</t>
  </si>
  <si>
    <t xml:space="preserve">Tracks which marketing channels drive sales</t>
  </si>
  <si>
    <t xml:space="preserve">Attribution — knows what's working</t>
  </si>
  <si>
    <t xml:space="preserve">Has defined marketing KPIs or goals</t>
  </si>
  <si>
    <t xml:space="preserve">Specific metrics they are trying to move</t>
  </si>
  <si>
    <t xml:space="preserve">Makes decisions based on data (not just gut)</t>
  </si>
  <si>
    <t xml:space="preserve">Uses numbers to guide marketing choices</t>
  </si>
  <si>
    <t xml:space="preserve">  8. Analytics &amp; Measurement  —  Subtotal</t>
  </si>
  <si>
    <t xml:space="preserve">  OVERALL TOTAL</t>
  </si>
  <si>
    <t xml:space="preserve">MARKETING AUDIT  |  SCORE DASHBOARD</t>
  </si>
  <si>
    <t xml:space="preserve">Client:</t>
  </si>
  <si>
    <t xml:space="preserve">OVERALL SCORE</t>
  </si>
  <si>
    <t xml:space="preserve">% Score</t>
  </si>
  <si>
    <t xml:space="preserve">Rating</t>
  </si>
  <si>
    <t xml:space="preserve">Total (All Categories)</t>
  </si>
  <si>
    <t xml:space="preserve">CATEGORY BREAKDOWN</t>
  </si>
  <si>
    <t xml:space="preserve">Priority Focus?</t>
  </si>
  <si>
    <t xml:space="preserve">1. Website &amp; Online Presence</t>
  </si>
  <si>
    <t xml:space="preserve">2. Search Engine Optimization (SEO)</t>
  </si>
  <si>
    <t xml:space="preserve">3. Social Media</t>
  </si>
  <si>
    <t xml:space="preserve">4. Email Marketing</t>
  </si>
  <si>
    <t xml:space="preserve">5. Content &amp; Messaging</t>
  </si>
  <si>
    <t xml:space="preserve">6. Paid Advertising</t>
  </si>
  <si>
    <t xml:space="preserve">7. Customer Retention &amp; Loyalty</t>
  </si>
  <si>
    <t xml:space="preserve">8. Analytics &amp; Measurement</t>
  </si>
  <si>
    <t xml:space="preserve">TOP PRIORITY AREAS  (Advisor Notes)</t>
  </si>
  <si>
    <t xml:space="preserve">Priority #1</t>
  </si>
  <si>
    <t xml:space="preserve">Priority #2</t>
  </si>
  <si>
    <t xml:space="preserve">Priority #3</t>
  </si>
  <si>
    <t xml:space="preserve">RECOMMENDED NEXT STEPS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</si>
</sst>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General"/>
    <numFmt numFmtId="167" formatCode="0%"/>
    <numFmt numFmtId="168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9"/>
      <color rgb="FF1111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2E7D8C"/>
      <name val="Arial"/>
      <family val="0"/>
      <charset val="1"/>
    </font>
    <font>
      <b val="true"/>
      <sz val="9"/>
      <color rgb="FF2C5F6E"/>
      <name val="Arial"/>
      <family val="0"/>
      <charset val="1"/>
    </font>
    <font>
      <b val="true"/>
      <sz val="9"/>
      <color rgb="FF1E5C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1B3A5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7D8C"/>
        <bgColor rgb="FF2C5F6E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DF3E0"/>
      </patternFill>
    </fill>
    <fill>
      <patternFill patternType="solid">
        <fgColor rgb="FFFFF3CD"/>
        <bgColor rgb="FFFDF3E0"/>
      </patternFill>
    </fill>
    <fill>
      <patternFill patternType="solid">
        <fgColor rgb="FFFDF3E0"/>
        <bgColor rgb="FFFFF3CD"/>
      </patternFill>
    </fill>
    <fill>
      <patternFill patternType="solid">
        <fgColor rgb="FFD6EEF1"/>
        <bgColor rgb="FFD4EDDA"/>
      </patternFill>
    </fill>
    <fill>
      <patternFill patternType="solid">
        <fgColor rgb="FFD4EDDA"/>
        <bgColor rgb="FFD6EEF1"/>
      </patternFill>
    </fill>
    <fill>
      <patternFill patternType="solid">
        <fgColor rgb="FFF8D7DA"/>
        <bgColor rgb="FFDDDDDD"/>
      </patternFill>
    </fill>
    <fill>
      <patternFill patternType="solid">
        <fgColor rgb="FF2C5F6E"/>
        <bgColor rgb="FF1E5C6E"/>
      </patternFill>
    </fill>
    <fill>
      <patternFill patternType="solid">
        <fgColor rgb="FF1E5C6E"/>
        <bgColor rgb="FF2C5F6E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C5F6E"/>
      </left>
      <right/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2C5F6E"/>
      </left>
      <right style="thin">
        <color rgb="FF2C5F6E"/>
      </right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1E5C6E"/>
      </left>
      <right/>
      <top style="thin">
        <color rgb="FF1E5C6E"/>
      </top>
      <bottom style="thin">
        <color rgb="FF1E5C6E"/>
      </bottom>
      <diagonal/>
    </border>
    <border diagonalUp="false" diagonalDown="false">
      <left style="thin">
        <color rgb="FF1E5C6E"/>
      </left>
      <right style="thin">
        <color rgb="FF1E5C6E"/>
      </right>
      <top style="thin">
        <color rgb="FF1E5C6E"/>
      </top>
      <bottom style="thin">
        <color rgb="FF1E5C6E"/>
      </bottom>
      <diagonal/>
    </border>
    <border diagonalUp="false" diagonalDown="false"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 diagonalUp="false" diagonalDown="false"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color rgb="FF666666"/>
        <sz val="11"/>
      </font>
      <fill>
        <patternFill>
          <bgColor rgb="FFF5F5F5"/>
        </patternFill>
      </fill>
    </dxf>
    <dxf>
      <font>
        <name val="Arial"/>
        <charset val="1"/>
        <family val="0"/>
        <b val="1"/>
        <color rgb="FF8B0000"/>
        <sz val="11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B6010"/>
        <sz val="11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E8A020"/>
        <sz val="11"/>
      </font>
      <fill>
        <patternFill>
          <bgColor rgb="FFFDF3E0"/>
        </patternFill>
      </fill>
    </dxf>
    <dxf>
      <font>
        <name val="Arial"/>
        <charset val="1"/>
        <family val="0"/>
        <b val="1"/>
        <color rgb="FF2E7D8C"/>
        <sz val="11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1E7E34"/>
        <sz val="11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2E7D8C"/>
        <sz val="9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1E7E34"/>
        <sz val="10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2E7D8C"/>
        <sz val="10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8B6010"/>
        <sz val="1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1E5C6E"/>
      <rgbColor rgb="FFC0C0C0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2C5F6E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</cols>
  <sheetData>
    <row r="1" customFormat="false" ht="27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/>
    <row r="3" customFormat="false" ht="18" hidden="false" customHeight="true" outlineLevel="0" collapsed="false">
      <c r="A3" s="2" t="s">
        <v>1</v>
      </c>
      <c r="B3" s="2"/>
    </row>
    <row r="4" customFormat="false" ht="18" hidden="false" customHeight="true" outlineLevel="0" collapsed="false">
      <c r="A4" s="3" t="s">
        <v>2</v>
      </c>
      <c r="B4" s="3"/>
    </row>
    <row r="5" customFormat="false" ht="18" hidden="false" customHeight="true" outlineLevel="0" collapsed="false">
      <c r="A5" s="3" t="s">
        <v>3</v>
      </c>
      <c r="B5" s="3"/>
    </row>
    <row r="6" customFormat="false" ht="18" hidden="false" customHeight="true" outlineLevel="0" collapsed="false"/>
    <row r="7" customFormat="false" ht="18" hidden="false" customHeight="true" outlineLevel="0" collapsed="false">
      <c r="A7" s="2" t="s">
        <v>4</v>
      </c>
      <c r="B7" s="2"/>
    </row>
    <row r="8" customFormat="false" ht="18" hidden="false" customHeight="true" outlineLevel="0" collapsed="false">
      <c r="A8" s="4" t="s">
        <v>5</v>
      </c>
      <c r="B8" s="5" t="s">
        <v>6</v>
      </c>
    </row>
    <row r="9" customFormat="false" ht="18" hidden="false" customHeight="true" outlineLevel="0" collapsed="false">
      <c r="A9" s="6" t="s">
        <v>7</v>
      </c>
      <c r="B9" s="7" t="s">
        <v>8</v>
      </c>
    </row>
    <row r="10" customFormat="false" ht="18" hidden="false" customHeight="true" outlineLevel="0" collapsed="false">
      <c r="A10" s="6" t="s">
        <v>9</v>
      </c>
      <c r="B10" s="7" t="s">
        <v>10</v>
      </c>
    </row>
    <row r="11" customFormat="false" ht="18" hidden="false" customHeight="true" outlineLevel="0" collapsed="false">
      <c r="A11" s="8" t="s">
        <v>11</v>
      </c>
      <c r="B11" s="9" t="s">
        <v>12</v>
      </c>
    </row>
    <row r="12" customFormat="false" ht="18" hidden="false" customHeight="true" outlineLevel="0" collapsed="false">
      <c r="A12" s="10" t="s">
        <v>13</v>
      </c>
      <c r="B12" s="11" t="s">
        <v>14</v>
      </c>
    </row>
    <row r="13" customFormat="false" ht="18" hidden="false" customHeight="true" outlineLevel="0" collapsed="false">
      <c r="A13" s="12" t="s">
        <v>15</v>
      </c>
      <c r="B13" s="13" t="s">
        <v>16</v>
      </c>
    </row>
    <row r="14" customFormat="false" ht="18" hidden="false" customHeight="true" outlineLevel="0" collapsed="false">
      <c r="A14" s="14" t="s">
        <v>17</v>
      </c>
      <c r="B14" s="15" t="s">
        <v>18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2" t="s">
        <v>19</v>
      </c>
      <c r="B16" s="2"/>
    </row>
    <row r="17" customFormat="false" ht="18" hidden="false" customHeight="true" outlineLevel="0" collapsed="false">
      <c r="A17" s="16" t="s">
        <v>20</v>
      </c>
      <c r="B17" s="17" t="s">
        <v>21</v>
      </c>
    </row>
    <row r="18" customFormat="false" ht="18" hidden="false" customHeight="true" outlineLevel="0" collapsed="false">
      <c r="A18" s="16" t="s">
        <v>22</v>
      </c>
      <c r="B18" s="17" t="s">
        <v>23</v>
      </c>
    </row>
    <row r="19" customFormat="false" ht="18" hidden="false" customHeight="true" outlineLevel="0" collapsed="false">
      <c r="A19" s="16" t="s">
        <v>24</v>
      </c>
      <c r="B19" s="17" t="s">
        <v>25</v>
      </c>
    </row>
    <row r="20" customFormat="false" ht="18" hidden="false" customHeight="true" outlineLevel="0" collapsed="false">
      <c r="A20" s="16" t="s">
        <v>26</v>
      </c>
      <c r="B20" s="17" t="s">
        <v>27</v>
      </c>
    </row>
    <row r="21" customFormat="false" ht="18" hidden="false" customHeight="true" outlineLevel="0" collapsed="false">
      <c r="A21" s="16" t="s">
        <v>28</v>
      </c>
      <c r="B21" s="17" t="s">
        <v>29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2" t="s">
        <v>30</v>
      </c>
      <c r="B23" s="2"/>
    </row>
    <row r="24" customFormat="false" ht="18" hidden="false" customHeight="true" outlineLevel="0" collapsed="false">
      <c r="A24" s="18" t="s">
        <v>31</v>
      </c>
      <c r="B24" s="19" t="s">
        <v>32</v>
      </c>
    </row>
    <row r="25" customFormat="false" ht="18" hidden="false" customHeight="true" outlineLevel="0" collapsed="false">
      <c r="A25" s="8" t="s">
        <v>33</v>
      </c>
      <c r="B25" s="20" t="s">
        <v>34</v>
      </c>
    </row>
    <row r="26" customFormat="false" ht="18" hidden="false" customHeight="true" outlineLevel="0" collapsed="false">
      <c r="A26" s="10" t="s">
        <v>35</v>
      </c>
      <c r="B26" s="21" t="s">
        <v>36</v>
      </c>
    </row>
    <row r="27" customFormat="false" ht="18" hidden="false" customHeight="true" outlineLevel="0" collapsed="false">
      <c r="A27" s="12" t="s">
        <v>37</v>
      </c>
      <c r="B27" s="22" t="s">
        <v>38</v>
      </c>
    </row>
    <row r="28" customFormat="false" ht="18" hidden="false" customHeight="true" outlineLevel="0" collapsed="false">
      <c r="A28" s="14" t="s">
        <v>39</v>
      </c>
      <c r="B28" s="23" t="s">
        <v>40</v>
      </c>
    </row>
  </sheetData>
  <mergeCells count="7">
    <mergeCell ref="A1:B1"/>
    <mergeCell ref="A3:B3"/>
    <mergeCell ref="A4:B4"/>
    <mergeCell ref="A5:B5"/>
    <mergeCell ref="A7:B7"/>
    <mergeCell ref="A16:B16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26"/>
  </cols>
  <sheetData>
    <row r="1" customFormat="false" ht="30" hidden="false" customHeight="true" outlineLevel="0" collapsed="false">
      <c r="A1" s="24" t="s">
        <v>0</v>
      </c>
      <c r="B1" s="24"/>
      <c r="C1" s="24"/>
      <c r="D1" s="24"/>
      <c r="E1" s="24"/>
      <c r="F1" s="24"/>
      <c r="G1" s="24"/>
    </row>
    <row r="2" customFormat="false" ht="19.5" hidden="false" customHeight="true" outlineLevel="0" collapsed="false">
      <c r="A2" s="25" t="s">
        <v>41</v>
      </c>
      <c r="B2" s="25"/>
      <c r="C2" s="26"/>
      <c r="D2" s="26"/>
      <c r="E2" s="27" t="s">
        <v>42</v>
      </c>
      <c r="F2" s="26"/>
      <c r="G2" s="26"/>
    </row>
    <row r="3" customFormat="false" ht="19.5" hidden="false" customHeight="true" outlineLevel="0" collapsed="false">
      <c r="A3" s="25" t="s">
        <v>43</v>
      </c>
      <c r="B3" s="25"/>
      <c r="C3" s="28"/>
      <c r="D3" s="28"/>
      <c r="E3" s="27" t="s">
        <v>44</v>
      </c>
      <c r="F3" s="26"/>
      <c r="G3" s="26"/>
    </row>
    <row r="4" customFormat="false" ht="27.75" hidden="false" customHeight="true" outlineLevel="0" collapsed="false">
      <c r="A4" s="29" t="s">
        <v>45</v>
      </c>
      <c r="B4" s="29" t="s">
        <v>46</v>
      </c>
      <c r="C4" s="29" t="s">
        <v>47</v>
      </c>
      <c r="D4" s="29" t="s">
        <v>48</v>
      </c>
      <c r="E4" s="29" t="s">
        <v>49</v>
      </c>
      <c r="F4" s="29" t="s">
        <v>50</v>
      </c>
      <c r="G4" s="29" t="s">
        <v>51</v>
      </c>
    </row>
    <row r="5" customFormat="false" ht="21.75" hidden="false" customHeight="true" outlineLevel="0" collapsed="false">
      <c r="A5" s="30" t="s">
        <v>52</v>
      </c>
      <c r="B5" s="30"/>
      <c r="C5" s="30"/>
      <c r="D5" s="30"/>
      <c r="E5" s="30"/>
      <c r="F5" s="30"/>
      <c r="G5" s="30"/>
    </row>
    <row r="6" customFormat="false" ht="36" hidden="false" customHeight="true" outlineLevel="0" collapsed="false">
      <c r="A6" s="31" t="n">
        <v>1</v>
      </c>
      <c r="B6" s="32" t="s">
        <v>53</v>
      </c>
      <c r="C6" s="33" t="s">
        <v>54</v>
      </c>
      <c r="D6" s="34" t="n">
        <v>0</v>
      </c>
      <c r="E6" s="35" t="n">
        <v>5</v>
      </c>
      <c r="F6" s="36" t="s">
        <v>55</v>
      </c>
      <c r="G6" s="37"/>
    </row>
    <row r="7" customFormat="false" ht="36" hidden="false" customHeight="true" outlineLevel="0" collapsed="false">
      <c r="A7" s="38" t="n">
        <v>2</v>
      </c>
      <c r="B7" s="39" t="s">
        <v>56</v>
      </c>
      <c r="C7" s="40" t="s">
        <v>57</v>
      </c>
      <c r="D7" s="34" t="n">
        <v>0</v>
      </c>
      <c r="E7" s="35" t="n">
        <v>5</v>
      </c>
      <c r="F7" s="36" t="s">
        <v>55</v>
      </c>
      <c r="G7" s="37"/>
    </row>
    <row r="8" customFormat="false" ht="36" hidden="false" customHeight="true" outlineLevel="0" collapsed="false">
      <c r="A8" s="31" t="n">
        <v>3</v>
      </c>
      <c r="B8" s="32" t="s">
        <v>58</v>
      </c>
      <c r="C8" s="33" t="s">
        <v>59</v>
      </c>
      <c r="D8" s="34" t="n">
        <v>0</v>
      </c>
      <c r="E8" s="35" t="n">
        <v>5</v>
      </c>
      <c r="F8" s="36" t="s">
        <v>55</v>
      </c>
      <c r="G8" s="37"/>
    </row>
    <row r="9" customFormat="false" ht="36" hidden="false" customHeight="true" outlineLevel="0" collapsed="false">
      <c r="A9" s="38" t="n">
        <v>4</v>
      </c>
      <c r="B9" s="39" t="s">
        <v>60</v>
      </c>
      <c r="C9" s="40" t="s">
        <v>61</v>
      </c>
      <c r="D9" s="34" t="n">
        <v>0</v>
      </c>
      <c r="E9" s="35" t="n">
        <v>5</v>
      </c>
      <c r="F9" s="36" t="s">
        <v>55</v>
      </c>
      <c r="G9" s="37"/>
    </row>
    <row r="10" customFormat="false" ht="36" hidden="false" customHeight="true" outlineLevel="0" collapsed="false">
      <c r="A10" s="31" t="n">
        <v>5</v>
      </c>
      <c r="B10" s="32" t="s">
        <v>62</v>
      </c>
      <c r="C10" s="33" t="s">
        <v>63</v>
      </c>
      <c r="D10" s="34" t="n">
        <v>0</v>
      </c>
      <c r="E10" s="35" t="n">
        <v>5</v>
      </c>
      <c r="F10" s="36" t="s">
        <v>55</v>
      </c>
      <c r="G10" s="37"/>
    </row>
    <row r="11" customFormat="false" ht="19.5" hidden="false" customHeight="true" outlineLevel="0" collapsed="false">
      <c r="A11" s="41" t="s">
        <v>64</v>
      </c>
      <c r="B11" s="41"/>
      <c r="C11" s="41"/>
      <c r="D11" s="42" t="n">
        <f aca="false">SUM(D6:D10)</f>
        <v>0</v>
      </c>
      <c r="E11" s="43" t="n">
        <f aca="false">SUM(E6:E10)</f>
        <v>25</v>
      </c>
      <c r="F11" s="44" t="n">
        <f aca="false">IFERROR(D11/E11,0)</f>
        <v>0</v>
      </c>
      <c r="G11" s="45"/>
    </row>
    <row r="13" customFormat="false" ht="21.75" hidden="false" customHeight="true" outlineLevel="0" collapsed="false">
      <c r="A13" s="46" t="s">
        <v>65</v>
      </c>
      <c r="B13" s="46"/>
      <c r="C13" s="46"/>
      <c r="D13" s="46"/>
      <c r="E13" s="46"/>
      <c r="F13" s="46"/>
      <c r="G13" s="46"/>
    </row>
    <row r="14" customFormat="false" ht="36" hidden="false" customHeight="true" outlineLevel="0" collapsed="false">
      <c r="A14" s="47" t="n">
        <v>1</v>
      </c>
      <c r="B14" s="32" t="s">
        <v>66</v>
      </c>
      <c r="C14" s="33" t="s">
        <v>67</v>
      </c>
      <c r="D14" s="34" t="n">
        <v>0</v>
      </c>
      <c r="E14" s="35" t="n">
        <v>5</v>
      </c>
      <c r="F14" s="36" t="s">
        <v>55</v>
      </c>
      <c r="G14" s="37"/>
    </row>
    <row r="15" customFormat="false" ht="36" hidden="false" customHeight="true" outlineLevel="0" collapsed="false">
      <c r="A15" s="48" t="n">
        <v>2</v>
      </c>
      <c r="B15" s="39" t="s">
        <v>68</v>
      </c>
      <c r="C15" s="40" t="s">
        <v>69</v>
      </c>
      <c r="D15" s="34" t="n">
        <v>0</v>
      </c>
      <c r="E15" s="35" t="n">
        <v>5</v>
      </c>
      <c r="F15" s="36" t="s">
        <v>55</v>
      </c>
      <c r="G15" s="37"/>
    </row>
    <row r="16" customFormat="false" ht="36" hidden="false" customHeight="true" outlineLevel="0" collapsed="false">
      <c r="A16" s="47" t="n">
        <v>3</v>
      </c>
      <c r="B16" s="32" t="s">
        <v>70</v>
      </c>
      <c r="C16" s="33" t="s">
        <v>71</v>
      </c>
      <c r="D16" s="34" t="n">
        <v>0</v>
      </c>
      <c r="E16" s="35" t="n">
        <v>5</v>
      </c>
      <c r="F16" s="36" t="s">
        <v>55</v>
      </c>
      <c r="G16" s="37"/>
    </row>
    <row r="17" customFormat="false" ht="36" hidden="false" customHeight="true" outlineLevel="0" collapsed="false">
      <c r="A17" s="48" t="n">
        <v>4</v>
      </c>
      <c r="B17" s="39" t="s">
        <v>72</v>
      </c>
      <c r="C17" s="40" t="s">
        <v>73</v>
      </c>
      <c r="D17" s="34" t="n">
        <v>0</v>
      </c>
      <c r="E17" s="35" t="n">
        <v>5</v>
      </c>
      <c r="F17" s="36" t="s">
        <v>55</v>
      </c>
      <c r="G17" s="37"/>
    </row>
    <row r="18" customFormat="false" ht="36" hidden="false" customHeight="true" outlineLevel="0" collapsed="false">
      <c r="A18" s="47" t="n">
        <v>5</v>
      </c>
      <c r="B18" s="32" t="s">
        <v>74</v>
      </c>
      <c r="C18" s="33" t="s">
        <v>75</v>
      </c>
      <c r="D18" s="34" t="n">
        <v>0</v>
      </c>
      <c r="E18" s="35" t="n">
        <v>5</v>
      </c>
      <c r="F18" s="36" t="s">
        <v>55</v>
      </c>
      <c r="G18" s="37"/>
    </row>
    <row r="19" customFormat="false" ht="19.5" hidden="false" customHeight="true" outlineLevel="0" collapsed="false">
      <c r="A19" s="49" t="s">
        <v>76</v>
      </c>
      <c r="B19" s="49"/>
      <c r="C19" s="49"/>
      <c r="D19" s="50" t="n">
        <f aca="false">SUM(D14:D18)</f>
        <v>0</v>
      </c>
      <c r="E19" s="51" t="n">
        <f aca="false">SUM(E14:E18)</f>
        <v>25</v>
      </c>
      <c r="F19" s="52" t="n">
        <f aca="false">IFERROR(D19/E19,0)</f>
        <v>0</v>
      </c>
      <c r="G19" s="53"/>
    </row>
    <row r="21" customFormat="false" ht="21.75" hidden="false" customHeight="true" outlineLevel="0" collapsed="false">
      <c r="A21" s="54" t="s">
        <v>77</v>
      </c>
      <c r="B21" s="54"/>
      <c r="C21" s="54"/>
      <c r="D21" s="54"/>
      <c r="E21" s="54"/>
      <c r="F21" s="54"/>
      <c r="G21" s="54"/>
    </row>
    <row r="22" customFormat="false" ht="36" hidden="false" customHeight="true" outlineLevel="0" collapsed="false">
      <c r="A22" s="55" t="n">
        <v>1</v>
      </c>
      <c r="B22" s="32" t="s">
        <v>78</v>
      </c>
      <c r="C22" s="33" t="s">
        <v>79</v>
      </c>
      <c r="D22" s="34" t="n">
        <v>0</v>
      </c>
      <c r="E22" s="35" t="n">
        <v>5</v>
      </c>
      <c r="F22" s="36" t="s">
        <v>55</v>
      </c>
      <c r="G22" s="37"/>
    </row>
    <row r="23" customFormat="false" ht="36" hidden="false" customHeight="true" outlineLevel="0" collapsed="false">
      <c r="A23" s="56" t="n">
        <v>2</v>
      </c>
      <c r="B23" s="39" t="s">
        <v>80</v>
      </c>
      <c r="C23" s="40" t="s">
        <v>81</v>
      </c>
      <c r="D23" s="34" t="n">
        <v>0</v>
      </c>
      <c r="E23" s="35" t="n">
        <v>5</v>
      </c>
      <c r="F23" s="36" t="s">
        <v>55</v>
      </c>
      <c r="G23" s="37"/>
    </row>
    <row r="24" customFormat="false" ht="36" hidden="false" customHeight="true" outlineLevel="0" collapsed="false">
      <c r="A24" s="55" t="n">
        <v>3</v>
      </c>
      <c r="B24" s="32" t="s">
        <v>82</v>
      </c>
      <c r="C24" s="33" t="s">
        <v>83</v>
      </c>
      <c r="D24" s="34" t="n">
        <v>0</v>
      </c>
      <c r="E24" s="35" t="n">
        <v>5</v>
      </c>
      <c r="F24" s="36" t="s">
        <v>55</v>
      </c>
      <c r="G24" s="37"/>
    </row>
    <row r="25" customFormat="false" ht="36" hidden="false" customHeight="true" outlineLevel="0" collapsed="false">
      <c r="A25" s="56" t="n">
        <v>4</v>
      </c>
      <c r="B25" s="39" t="s">
        <v>84</v>
      </c>
      <c r="C25" s="40" t="s">
        <v>85</v>
      </c>
      <c r="D25" s="34" t="n">
        <v>0</v>
      </c>
      <c r="E25" s="35" t="n">
        <v>5</v>
      </c>
      <c r="F25" s="36" t="s">
        <v>55</v>
      </c>
      <c r="G25" s="37"/>
    </row>
    <row r="26" customFormat="false" ht="36" hidden="false" customHeight="true" outlineLevel="0" collapsed="false">
      <c r="A26" s="55" t="n">
        <v>5</v>
      </c>
      <c r="B26" s="32" t="s">
        <v>86</v>
      </c>
      <c r="C26" s="33" t="s">
        <v>87</v>
      </c>
      <c r="D26" s="34" t="n">
        <v>0</v>
      </c>
      <c r="E26" s="35" t="n">
        <v>5</v>
      </c>
      <c r="F26" s="36" t="s">
        <v>55</v>
      </c>
      <c r="G26" s="37"/>
    </row>
    <row r="27" customFormat="false" ht="19.5" hidden="false" customHeight="true" outlineLevel="0" collapsed="false">
      <c r="A27" s="57" t="s">
        <v>88</v>
      </c>
      <c r="B27" s="57"/>
      <c r="C27" s="57"/>
      <c r="D27" s="58" t="n">
        <f aca="false">SUM(D22:D26)</f>
        <v>0</v>
      </c>
      <c r="E27" s="59" t="n">
        <f aca="false">SUM(E22:E26)</f>
        <v>25</v>
      </c>
      <c r="F27" s="60" t="n">
        <f aca="false">IFERROR(D27/E27,0)</f>
        <v>0</v>
      </c>
      <c r="G27" s="61"/>
    </row>
    <row r="29" customFormat="false" ht="21.75" hidden="false" customHeight="true" outlineLevel="0" collapsed="false">
      <c r="A29" s="62" t="s">
        <v>89</v>
      </c>
      <c r="B29" s="62"/>
      <c r="C29" s="62"/>
      <c r="D29" s="62"/>
      <c r="E29" s="62"/>
      <c r="F29" s="62"/>
      <c r="G29" s="62"/>
    </row>
    <row r="30" customFormat="false" ht="36" hidden="false" customHeight="true" outlineLevel="0" collapsed="false">
      <c r="A30" s="63" t="n">
        <v>1</v>
      </c>
      <c r="B30" s="32" t="s">
        <v>90</v>
      </c>
      <c r="C30" s="33" t="s">
        <v>91</v>
      </c>
      <c r="D30" s="34" t="n">
        <v>0</v>
      </c>
      <c r="E30" s="35" t="n">
        <v>5</v>
      </c>
      <c r="F30" s="36" t="s">
        <v>55</v>
      </c>
      <c r="G30" s="37"/>
    </row>
    <row r="31" customFormat="false" ht="36" hidden="false" customHeight="true" outlineLevel="0" collapsed="false">
      <c r="A31" s="64" t="n">
        <v>2</v>
      </c>
      <c r="B31" s="39" t="s">
        <v>92</v>
      </c>
      <c r="C31" s="40" t="s">
        <v>93</v>
      </c>
      <c r="D31" s="34" t="n">
        <v>0</v>
      </c>
      <c r="E31" s="35" t="n">
        <v>5</v>
      </c>
      <c r="F31" s="36" t="s">
        <v>55</v>
      </c>
      <c r="G31" s="37"/>
    </row>
    <row r="32" customFormat="false" ht="36" hidden="false" customHeight="true" outlineLevel="0" collapsed="false">
      <c r="A32" s="63" t="n">
        <v>3</v>
      </c>
      <c r="B32" s="32" t="s">
        <v>94</v>
      </c>
      <c r="C32" s="33" t="s">
        <v>95</v>
      </c>
      <c r="D32" s="34" t="n">
        <v>0</v>
      </c>
      <c r="E32" s="35" t="n">
        <v>5</v>
      </c>
      <c r="F32" s="36" t="s">
        <v>55</v>
      </c>
      <c r="G32" s="37"/>
    </row>
    <row r="33" customFormat="false" ht="36" hidden="false" customHeight="true" outlineLevel="0" collapsed="false">
      <c r="A33" s="64" t="n">
        <v>4</v>
      </c>
      <c r="B33" s="39" t="s">
        <v>96</v>
      </c>
      <c r="C33" s="40" t="s">
        <v>97</v>
      </c>
      <c r="D33" s="34" t="n">
        <v>0</v>
      </c>
      <c r="E33" s="35" t="n">
        <v>5</v>
      </c>
      <c r="F33" s="36" t="s">
        <v>55</v>
      </c>
      <c r="G33" s="37"/>
    </row>
    <row r="34" customFormat="false" ht="36" hidden="false" customHeight="true" outlineLevel="0" collapsed="false">
      <c r="A34" s="63" t="n">
        <v>5</v>
      </c>
      <c r="B34" s="32" t="s">
        <v>98</v>
      </c>
      <c r="C34" s="33" t="s">
        <v>99</v>
      </c>
      <c r="D34" s="34" t="n">
        <v>0</v>
      </c>
      <c r="E34" s="35" t="n">
        <v>5</v>
      </c>
      <c r="F34" s="36" t="s">
        <v>55</v>
      </c>
      <c r="G34" s="37"/>
    </row>
    <row r="35" customFormat="false" ht="19.5" hidden="false" customHeight="true" outlineLevel="0" collapsed="false">
      <c r="A35" s="65" t="s">
        <v>100</v>
      </c>
      <c r="B35" s="65"/>
      <c r="C35" s="65"/>
      <c r="D35" s="66" t="n">
        <f aca="false">SUM(D30:D34)</f>
        <v>0</v>
      </c>
      <c r="E35" s="67" t="n">
        <f aca="false">SUM(E30:E34)</f>
        <v>25</v>
      </c>
      <c r="F35" s="68" t="n">
        <f aca="false">IFERROR(D35/E35,0)</f>
        <v>0</v>
      </c>
      <c r="G35" s="69"/>
    </row>
    <row r="37" customFormat="false" ht="21.75" hidden="false" customHeight="true" outlineLevel="0" collapsed="false">
      <c r="A37" s="30" t="s">
        <v>101</v>
      </c>
      <c r="B37" s="30"/>
      <c r="C37" s="30"/>
      <c r="D37" s="30"/>
      <c r="E37" s="30"/>
      <c r="F37" s="30"/>
      <c r="G37" s="30"/>
    </row>
    <row r="38" customFormat="false" ht="36" hidden="false" customHeight="true" outlineLevel="0" collapsed="false">
      <c r="A38" s="31" t="n">
        <v>1</v>
      </c>
      <c r="B38" s="32" t="s">
        <v>102</v>
      </c>
      <c r="C38" s="33" t="s">
        <v>103</v>
      </c>
      <c r="D38" s="34" t="n">
        <v>0</v>
      </c>
      <c r="E38" s="35" t="n">
        <v>5</v>
      </c>
      <c r="F38" s="36" t="s">
        <v>55</v>
      </c>
      <c r="G38" s="37"/>
    </row>
    <row r="39" customFormat="false" ht="36" hidden="false" customHeight="true" outlineLevel="0" collapsed="false">
      <c r="A39" s="38" t="n">
        <v>2</v>
      </c>
      <c r="B39" s="39" t="s">
        <v>104</v>
      </c>
      <c r="C39" s="40" t="s">
        <v>105</v>
      </c>
      <c r="D39" s="34" t="n">
        <v>0</v>
      </c>
      <c r="E39" s="35" t="n">
        <v>5</v>
      </c>
      <c r="F39" s="36" t="s">
        <v>55</v>
      </c>
      <c r="G39" s="37"/>
    </row>
    <row r="40" customFormat="false" ht="36" hidden="false" customHeight="true" outlineLevel="0" collapsed="false">
      <c r="A40" s="31" t="n">
        <v>3</v>
      </c>
      <c r="B40" s="32" t="s">
        <v>106</v>
      </c>
      <c r="C40" s="33" t="s">
        <v>107</v>
      </c>
      <c r="D40" s="34" t="n">
        <v>0</v>
      </c>
      <c r="E40" s="35" t="n">
        <v>5</v>
      </c>
      <c r="F40" s="36" t="s">
        <v>55</v>
      </c>
      <c r="G40" s="37"/>
    </row>
    <row r="41" customFormat="false" ht="36" hidden="false" customHeight="true" outlineLevel="0" collapsed="false">
      <c r="A41" s="38" t="n">
        <v>4</v>
      </c>
      <c r="B41" s="39" t="s">
        <v>108</v>
      </c>
      <c r="C41" s="40" t="s">
        <v>109</v>
      </c>
      <c r="D41" s="34" t="n">
        <v>0</v>
      </c>
      <c r="E41" s="35" t="n">
        <v>5</v>
      </c>
      <c r="F41" s="36" t="s">
        <v>55</v>
      </c>
      <c r="G41" s="37"/>
    </row>
    <row r="42" customFormat="false" ht="36" hidden="false" customHeight="true" outlineLevel="0" collapsed="false">
      <c r="A42" s="31" t="n">
        <v>5</v>
      </c>
      <c r="B42" s="32" t="s">
        <v>110</v>
      </c>
      <c r="C42" s="33" t="s">
        <v>111</v>
      </c>
      <c r="D42" s="34" t="n">
        <v>0</v>
      </c>
      <c r="E42" s="35" t="n">
        <v>5</v>
      </c>
      <c r="F42" s="36" t="s">
        <v>55</v>
      </c>
      <c r="G42" s="37"/>
    </row>
    <row r="43" customFormat="false" ht="19.5" hidden="false" customHeight="true" outlineLevel="0" collapsed="false">
      <c r="A43" s="41" t="s">
        <v>112</v>
      </c>
      <c r="B43" s="41"/>
      <c r="C43" s="41"/>
      <c r="D43" s="42" t="n">
        <f aca="false">SUM(D38:D42)</f>
        <v>0</v>
      </c>
      <c r="E43" s="43" t="n">
        <f aca="false">SUM(E38:E42)</f>
        <v>25</v>
      </c>
      <c r="F43" s="44" t="n">
        <f aca="false">IFERROR(D43/E43,0)</f>
        <v>0</v>
      </c>
      <c r="G43" s="45"/>
    </row>
    <row r="45" customFormat="false" ht="21.75" hidden="false" customHeight="true" outlineLevel="0" collapsed="false">
      <c r="A45" s="46" t="s">
        <v>113</v>
      </c>
      <c r="B45" s="46"/>
      <c r="C45" s="46"/>
      <c r="D45" s="46"/>
      <c r="E45" s="46"/>
      <c r="F45" s="46"/>
      <c r="G45" s="46"/>
    </row>
    <row r="46" customFormat="false" ht="36" hidden="false" customHeight="true" outlineLevel="0" collapsed="false">
      <c r="A46" s="47" t="n">
        <v>1</v>
      </c>
      <c r="B46" s="32" t="s">
        <v>114</v>
      </c>
      <c r="C46" s="33" t="s">
        <v>115</v>
      </c>
      <c r="D46" s="34" t="n">
        <v>0</v>
      </c>
      <c r="E46" s="35" t="n">
        <v>5</v>
      </c>
      <c r="F46" s="36" t="s">
        <v>55</v>
      </c>
      <c r="G46" s="37"/>
    </row>
    <row r="47" customFormat="false" ht="36" hidden="false" customHeight="true" outlineLevel="0" collapsed="false">
      <c r="A47" s="48" t="n">
        <v>2</v>
      </c>
      <c r="B47" s="39" t="s">
        <v>116</v>
      </c>
      <c r="C47" s="40" t="s">
        <v>117</v>
      </c>
      <c r="D47" s="34" t="n">
        <v>0</v>
      </c>
      <c r="E47" s="35" t="n">
        <v>5</v>
      </c>
      <c r="F47" s="36" t="s">
        <v>55</v>
      </c>
      <c r="G47" s="37"/>
    </row>
    <row r="48" customFormat="false" ht="36" hidden="false" customHeight="true" outlineLevel="0" collapsed="false">
      <c r="A48" s="47" t="n">
        <v>3</v>
      </c>
      <c r="B48" s="32" t="s">
        <v>118</v>
      </c>
      <c r="C48" s="33" t="s">
        <v>119</v>
      </c>
      <c r="D48" s="34" t="n">
        <v>0</v>
      </c>
      <c r="E48" s="35" t="n">
        <v>5</v>
      </c>
      <c r="F48" s="36" t="s">
        <v>55</v>
      </c>
      <c r="G48" s="37"/>
    </row>
    <row r="49" customFormat="false" ht="36" hidden="false" customHeight="true" outlineLevel="0" collapsed="false">
      <c r="A49" s="48" t="n">
        <v>4</v>
      </c>
      <c r="B49" s="39" t="s">
        <v>120</v>
      </c>
      <c r="C49" s="40" t="s">
        <v>121</v>
      </c>
      <c r="D49" s="34" t="n">
        <v>0</v>
      </c>
      <c r="E49" s="35" t="n">
        <v>5</v>
      </c>
      <c r="F49" s="36" t="s">
        <v>55</v>
      </c>
      <c r="G49" s="37"/>
    </row>
    <row r="50" customFormat="false" ht="36" hidden="false" customHeight="true" outlineLevel="0" collapsed="false">
      <c r="A50" s="47" t="n">
        <v>5</v>
      </c>
      <c r="B50" s="32" t="s">
        <v>122</v>
      </c>
      <c r="C50" s="33" t="s">
        <v>123</v>
      </c>
      <c r="D50" s="34" t="n">
        <v>0</v>
      </c>
      <c r="E50" s="35" t="n">
        <v>5</v>
      </c>
      <c r="F50" s="36" t="s">
        <v>55</v>
      </c>
      <c r="G50" s="37"/>
    </row>
    <row r="51" customFormat="false" ht="19.5" hidden="false" customHeight="true" outlineLevel="0" collapsed="false">
      <c r="A51" s="49" t="s">
        <v>124</v>
      </c>
      <c r="B51" s="49"/>
      <c r="C51" s="49"/>
      <c r="D51" s="50" t="n">
        <f aca="false">SUM(D46:D50)</f>
        <v>0</v>
      </c>
      <c r="E51" s="51" t="n">
        <f aca="false">SUM(E46:E50)</f>
        <v>25</v>
      </c>
      <c r="F51" s="52" t="n">
        <f aca="false">IFERROR(D51/E51,0)</f>
        <v>0</v>
      </c>
      <c r="G51" s="53"/>
    </row>
    <row r="53" customFormat="false" ht="21.75" hidden="false" customHeight="true" outlineLevel="0" collapsed="false">
      <c r="A53" s="54" t="s">
        <v>125</v>
      </c>
      <c r="B53" s="54"/>
      <c r="C53" s="54"/>
      <c r="D53" s="54"/>
      <c r="E53" s="54"/>
      <c r="F53" s="54"/>
      <c r="G53" s="54"/>
    </row>
    <row r="54" customFormat="false" ht="36" hidden="false" customHeight="true" outlineLevel="0" collapsed="false">
      <c r="A54" s="55" t="n">
        <v>1</v>
      </c>
      <c r="B54" s="32" t="s">
        <v>126</v>
      </c>
      <c r="C54" s="33" t="s">
        <v>127</v>
      </c>
      <c r="D54" s="34" t="n">
        <v>0</v>
      </c>
      <c r="E54" s="35" t="n">
        <v>5</v>
      </c>
      <c r="F54" s="36" t="s">
        <v>55</v>
      </c>
      <c r="G54" s="37"/>
    </row>
    <row r="55" customFormat="false" ht="36" hidden="false" customHeight="true" outlineLevel="0" collapsed="false">
      <c r="A55" s="56" t="n">
        <v>2</v>
      </c>
      <c r="B55" s="39" t="s">
        <v>128</v>
      </c>
      <c r="C55" s="40" t="s">
        <v>129</v>
      </c>
      <c r="D55" s="34" t="n">
        <v>0</v>
      </c>
      <c r="E55" s="35" t="n">
        <v>5</v>
      </c>
      <c r="F55" s="36" t="s">
        <v>55</v>
      </c>
      <c r="G55" s="37"/>
    </row>
    <row r="56" customFormat="false" ht="36" hidden="false" customHeight="true" outlineLevel="0" collapsed="false">
      <c r="A56" s="55" t="n">
        <v>3</v>
      </c>
      <c r="B56" s="32" t="s">
        <v>130</v>
      </c>
      <c r="C56" s="33" t="s">
        <v>131</v>
      </c>
      <c r="D56" s="34" t="n">
        <v>0</v>
      </c>
      <c r="E56" s="35" t="n">
        <v>5</v>
      </c>
      <c r="F56" s="36" t="s">
        <v>55</v>
      </c>
      <c r="G56" s="37"/>
    </row>
    <row r="57" customFormat="false" ht="36" hidden="false" customHeight="true" outlineLevel="0" collapsed="false">
      <c r="A57" s="56" t="n">
        <v>4</v>
      </c>
      <c r="B57" s="39" t="s">
        <v>132</v>
      </c>
      <c r="C57" s="40" t="s">
        <v>133</v>
      </c>
      <c r="D57" s="34" t="n">
        <v>0</v>
      </c>
      <c r="E57" s="35" t="n">
        <v>5</v>
      </c>
      <c r="F57" s="36" t="s">
        <v>55</v>
      </c>
      <c r="G57" s="37"/>
    </row>
    <row r="58" customFormat="false" ht="36" hidden="false" customHeight="true" outlineLevel="0" collapsed="false">
      <c r="A58" s="55" t="n">
        <v>5</v>
      </c>
      <c r="B58" s="32" t="s">
        <v>134</v>
      </c>
      <c r="C58" s="33" t="s">
        <v>135</v>
      </c>
      <c r="D58" s="34" t="n">
        <v>0</v>
      </c>
      <c r="E58" s="35" t="n">
        <v>5</v>
      </c>
      <c r="F58" s="36" t="s">
        <v>55</v>
      </c>
      <c r="G58" s="37"/>
    </row>
    <row r="59" customFormat="false" ht="19.5" hidden="false" customHeight="true" outlineLevel="0" collapsed="false">
      <c r="A59" s="57" t="s">
        <v>136</v>
      </c>
      <c r="B59" s="57"/>
      <c r="C59" s="57"/>
      <c r="D59" s="58" t="n">
        <f aca="false">SUM(D54:D58)</f>
        <v>0</v>
      </c>
      <c r="E59" s="59" t="n">
        <f aca="false">SUM(E54:E58)</f>
        <v>25</v>
      </c>
      <c r="F59" s="60" t="n">
        <f aca="false">IFERROR(D59/E59,0)</f>
        <v>0</v>
      </c>
      <c r="G59" s="61"/>
    </row>
    <row r="61" customFormat="false" ht="21.75" hidden="false" customHeight="true" outlineLevel="0" collapsed="false">
      <c r="A61" s="62" t="s">
        <v>137</v>
      </c>
      <c r="B61" s="62"/>
      <c r="C61" s="62"/>
      <c r="D61" s="62"/>
      <c r="E61" s="62"/>
      <c r="F61" s="62"/>
      <c r="G61" s="62"/>
    </row>
    <row r="62" customFormat="false" ht="36" hidden="false" customHeight="true" outlineLevel="0" collapsed="false">
      <c r="A62" s="63" t="n">
        <v>1</v>
      </c>
      <c r="B62" s="32" t="s">
        <v>138</v>
      </c>
      <c r="C62" s="33" t="s">
        <v>139</v>
      </c>
      <c r="D62" s="34" t="n">
        <v>0</v>
      </c>
      <c r="E62" s="35" t="n">
        <v>5</v>
      </c>
      <c r="F62" s="36" t="s">
        <v>55</v>
      </c>
      <c r="G62" s="37"/>
    </row>
    <row r="63" customFormat="false" ht="36" hidden="false" customHeight="true" outlineLevel="0" collapsed="false">
      <c r="A63" s="64" t="n">
        <v>2</v>
      </c>
      <c r="B63" s="39" t="s">
        <v>140</v>
      </c>
      <c r="C63" s="40" t="s">
        <v>141</v>
      </c>
      <c r="D63" s="34" t="n">
        <v>0</v>
      </c>
      <c r="E63" s="35" t="n">
        <v>5</v>
      </c>
      <c r="F63" s="36" t="s">
        <v>55</v>
      </c>
      <c r="G63" s="37"/>
    </row>
    <row r="64" customFormat="false" ht="36" hidden="false" customHeight="true" outlineLevel="0" collapsed="false">
      <c r="A64" s="63" t="n">
        <v>3</v>
      </c>
      <c r="B64" s="32" t="s">
        <v>142</v>
      </c>
      <c r="C64" s="33" t="s">
        <v>143</v>
      </c>
      <c r="D64" s="34" t="n">
        <v>0</v>
      </c>
      <c r="E64" s="35" t="n">
        <v>5</v>
      </c>
      <c r="F64" s="36" t="s">
        <v>55</v>
      </c>
      <c r="G64" s="37"/>
    </row>
    <row r="65" customFormat="false" ht="36" hidden="false" customHeight="true" outlineLevel="0" collapsed="false">
      <c r="A65" s="64" t="n">
        <v>4</v>
      </c>
      <c r="B65" s="39" t="s">
        <v>144</v>
      </c>
      <c r="C65" s="40" t="s">
        <v>145</v>
      </c>
      <c r="D65" s="34" t="n">
        <v>0</v>
      </c>
      <c r="E65" s="35" t="n">
        <v>5</v>
      </c>
      <c r="F65" s="36" t="s">
        <v>55</v>
      </c>
      <c r="G65" s="37"/>
    </row>
    <row r="66" customFormat="false" ht="36" hidden="false" customHeight="true" outlineLevel="0" collapsed="false">
      <c r="A66" s="63" t="n">
        <v>5</v>
      </c>
      <c r="B66" s="32" t="s">
        <v>146</v>
      </c>
      <c r="C66" s="33" t="s">
        <v>147</v>
      </c>
      <c r="D66" s="34" t="n">
        <v>0</v>
      </c>
      <c r="E66" s="35" t="n">
        <v>5</v>
      </c>
      <c r="F66" s="36" t="s">
        <v>55</v>
      </c>
      <c r="G66" s="37"/>
    </row>
    <row r="67" customFormat="false" ht="19.5" hidden="false" customHeight="true" outlineLevel="0" collapsed="false">
      <c r="A67" s="65" t="s">
        <v>148</v>
      </c>
      <c r="B67" s="65"/>
      <c r="C67" s="65"/>
      <c r="D67" s="66" t="n">
        <f aca="false">SUM(D62:D66)</f>
        <v>0</v>
      </c>
      <c r="E67" s="67" t="n">
        <f aca="false">SUM(E62:E66)</f>
        <v>25</v>
      </c>
      <c r="F67" s="68" t="n">
        <f aca="false">IFERROR(D67/E67,0)</f>
        <v>0</v>
      </c>
      <c r="G67" s="69"/>
    </row>
    <row r="69" customFormat="false" ht="25.5" hidden="false" customHeight="true" outlineLevel="0" collapsed="false">
      <c r="A69" s="70" t="s">
        <v>149</v>
      </c>
      <c r="B69" s="70"/>
      <c r="C69" s="70"/>
      <c r="D69" s="71" t="n">
        <f aca="false">SUM(D5:D68)</f>
        <v>0</v>
      </c>
      <c r="E69" s="72" t="n">
        <f aca="false">SUM(E5:E68)</f>
        <v>400</v>
      </c>
      <c r="F69" s="73" t="n">
        <f aca="false">IFERROR(D69/E69,0)</f>
        <v>0</v>
      </c>
      <c r="G69" s="74"/>
    </row>
  </sheetData>
  <mergeCells count="24">
    <mergeCell ref="A1:G1"/>
    <mergeCell ref="A2:B2"/>
    <mergeCell ref="C2:D2"/>
    <mergeCell ref="F2:G2"/>
    <mergeCell ref="A3:B3"/>
    <mergeCell ref="C3:D3"/>
    <mergeCell ref="F3:G3"/>
    <mergeCell ref="A5:G5"/>
    <mergeCell ref="A11:C11"/>
    <mergeCell ref="A13:G13"/>
    <mergeCell ref="A19:C19"/>
    <mergeCell ref="A21:G21"/>
    <mergeCell ref="A27:C27"/>
    <mergeCell ref="A29:G29"/>
    <mergeCell ref="A35:C35"/>
    <mergeCell ref="A37:G37"/>
    <mergeCell ref="A43:C43"/>
    <mergeCell ref="A45:G45"/>
    <mergeCell ref="A51:C51"/>
    <mergeCell ref="A53:G53"/>
    <mergeCell ref="A59:C59"/>
    <mergeCell ref="A61:G61"/>
    <mergeCell ref="A67:C67"/>
    <mergeCell ref="A69:C69"/>
  </mergeCells>
  <conditionalFormatting sqref="D5:D69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3</formula>
    </cfRule>
    <cfRule type="cellIs" priority="6" operator="equal" aboveAverage="0" equalAverage="0" bottom="0" percent="0" rank="0" text="" dxfId="4">
      <formula>4</formula>
    </cfRule>
    <cfRule type="cellIs" priority="7" operator="equal" aboveAverage="0" equalAverage="0" bottom="0" percent="0" rank="0" text="" dxfId="5">
      <formula>5</formula>
    </cfRule>
  </conditionalFormatting>
  <conditionalFormatting sqref="F5:F69">
    <cfRule type="cellIs" priority="8" operator="equal" aboveAverage="0" equalAverage="0" bottom="0" percent="0" rank="0" text="" dxfId="6">
      <formula>"Critical"</formula>
    </cfRule>
    <cfRule type="cellIs" priority="9" operator="equal" aboveAverage="0" equalAverage="0" bottom="0" percent="0" rank="0" text="" dxfId="7">
      <formula>"High"</formula>
    </cfRule>
    <cfRule type="cellIs" priority="10" operator="equal" aboveAverage="0" equalAverage="0" bottom="0" percent="0" rank="0" text="" dxfId="8">
      <formula>"Medium"</formula>
    </cfRule>
  </conditionalFormatting>
  <dataValidations count="2">
    <dataValidation allowBlank="true" errorStyle="stop" operator="between" showDropDown="false" showErrorMessage="false" showInputMessage="false" sqref="D6:D10 D14:D18 D22:D26 D30:D34 D38:D42 D46:D50 D54:D58 D62:D66" type="list">
      <formula1>"0,1,2,3,4,5"</formula1>
      <formula2>0</formula2>
    </dataValidation>
    <dataValidation allowBlank="true" errorStyle="stop" operator="between" showDropDown="false" showErrorMessage="false" showInputMessage="false" sqref="F6:F10 F14:F18 F22:F26 F30:F34 F38:F42 F46:F50 F54:F58 F62:F66" type="list">
      <formula1>"—,Low,Medium,High,Critical"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24" t="s">
        <v>150</v>
      </c>
      <c r="B1" s="24"/>
      <c r="C1" s="24"/>
      <c r="D1" s="24"/>
      <c r="E1" s="24"/>
      <c r="F1" s="24"/>
    </row>
    <row r="2" customFormat="false" ht="19.5" hidden="false" customHeight="true" outlineLevel="0" collapsed="false">
      <c r="A2" s="25" t="s">
        <v>151</v>
      </c>
      <c r="B2" s="25"/>
      <c r="C2" s="25"/>
      <c r="D2" s="75" t="n">
        <f aca="false">Audit!C2</f>
        <v>0</v>
      </c>
      <c r="E2" s="75"/>
      <c r="F2" s="75"/>
    </row>
    <row r="4" customFormat="false" ht="19.5" hidden="false" customHeight="true" outlineLevel="0" collapsed="false">
      <c r="A4" s="16" t="s">
        <v>152</v>
      </c>
      <c r="B4" s="76" t="s">
        <v>5</v>
      </c>
      <c r="C4" s="76"/>
      <c r="D4" s="16" t="s">
        <v>49</v>
      </c>
      <c r="E4" s="16" t="s">
        <v>153</v>
      </c>
      <c r="F4" s="16" t="s">
        <v>154</v>
      </c>
    </row>
    <row r="5" customFormat="false" ht="24" hidden="false" customHeight="true" outlineLevel="0" collapsed="false">
      <c r="A5" s="77" t="s">
        <v>155</v>
      </c>
      <c r="B5" s="78" t="n">
        <f aca="false">Audit!D69</f>
        <v>0</v>
      </c>
      <c r="C5" s="78"/>
      <c r="D5" s="79" t="n">
        <f aca="false">Audit!E69</f>
        <v>400</v>
      </c>
      <c r="E5" s="80" t="n">
        <f aca="false">IFERROR(B5/D5,0)</f>
        <v>0</v>
      </c>
      <c r="F5" s="81" t="str">
        <f aca="false">IF(E5&gt;=0.9,"Advanced ⭐",IF(E5&gt;=0.75,"Strong ✅",IF(E5&gt;=0.6,"Functional 🔧",IF(E5&gt;=0.4,"Developing 📈","Critical 🚨"))))</f>
        <v>Critical 🚨</v>
      </c>
    </row>
    <row r="7" customFormat="false" ht="19.5" hidden="false" customHeight="true" outlineLevel="0" collapsed="false">
      <c r="A7" s="4" t="s">
        <v>156</v>
      </c>
      <c r="B7" s="82" t="s">
        <v>5</v>
      </c>
      <c r="C7" s="82"/>
      <c r="D7" s="4" t="s">
        <v>49</v>
      </c>
      <c r="E7" s="4" t="s">
        <v>153</v>
      </c>
      <c r="F7" s="4" t="s">
        <v>157</v>
      </c>
    </row>
    <row r="8" customFormat="false" ht="19.5" hidden="false" customHeight="true" outlineLevel="0" collapsed="false">
      <c r="A8" s="77" t="s">
        <v>158</v>
      </c>
      <c r="B8" s="83" t="n">
        <f aca="false">Audit!D11</f>
        <v>0</v>
      </c>
      <c r="C8" s="83"/>
      <c r="D8" s="35" t="n">
        <f aca="false">Audit!E11</f>
        <v>25</v>
      </c>
      <c r="E8" s="84" t="n">
        <f aca="false">IFERROR(B8/D8,0)</f>
        <v>0</v>
      </c>
      <c r="F8" s="85" t="str">
        <f aca="false">IF(E8&gt;=0.8,"Strong ✅",IF(E8&gt;=0.6,"Good 🔧",IF(E8&gt;=0.4,"Needs Work 📈","Priority 🚨")))</f>
        <v>Priority 🚨</v>
      </c>
    </row>
    <row r="9" customFormat="false" ht="19.5" hidden="false" customHeight="true" outlineLevel="0" collapsed="false">
      <c r="A9" s="86" t="s">
        <v>159</v>
      </c>
      <c r="B9" s="87" t="n">
        <f aca="false">Audit!D19</f>
        <v>0</v>
      </c>
      <c r="C9" s="87"/>
      <c r="D9" s="88" t="n">
        <f aca="false">Audit!E19</f>
        <v>25</v>
      </c>
      <c r="E9" s="89" t="n">
        <f aca="false">IFERROR(B9/D9,0)</f>
        <v>0</v>
      </c>
      <c r="F9" s="90" t="str">
        <f aca="false">IF(E9&gt;=0.8,"Strong ✅",IF(E9&gt;=0.6,"Good 🔧",IF(E9&gt;=0.4,"Needs Work 📈","Priority 🚨")))</f>
        <v>Priority 🚨</v>
      </c>
    </row>
    <row r="10" customFormat="false" ht="19.5" hidden="false" customHeight="true" outlineLevel="0" collapsed="false">
      <c r="A10" s="77" t="s">
        <v>160</v>
      </c>
      <c r="B10" s="83" t="n">
        <f aca="false">Audit!D27</f>
        <v>0</v>
      </c>
      <c r="C10" s="83"/>
      <c r="D10" s="35" t="n">
        <f aca="false">Audit!E27</f>
        <v>25</v>
      </c>
      <c r="E10" s="84" t="n">
        <f aca="false">IFERROR(B10/D10,0)</f>
        <v>0</v>
      </c>
      <c r="F10" s="85" t="str">
        <f aca="false">IF(E10&gt;=0.8,"Strong ✅",IF(E10&gt;=0.6,"Good 🔧",IF(E10&gt;=0.4,"Needs Work 📈","Priority 🚨")))</f>
        <v>Priority 🚨</v>
      </c>
    </row>
    <row r="11" customFormat="false" ht="19.5" hidden="false" customHeight="true" outlineLevel="0" collapsed="false">
      <c r="A11" s="86" t="s">
        <v>161</v>
      </c>
      <c r="B11" s="87" t="n">
        <f aca="false">Audit!D35</f>
        <v>0</v>
      </c>
      <c r="C11" s="87"/>
      <c r="D11" s="88" t="n">
        <f aca="false">Audit!E35</f>
        <v>25</v>
      </c>
      <c r="E11" s="89" t="n">
        <f aca="false">IFERROR(B11/D11,0)</f>
        <v>0</v>
      </c>
      <c r="F11" s="90" t="str">
        <f aca="false">IF(E11&gt;=0.8,"Strong ✅",IF(E11&gt;=0.6,"Good 🔧",IF(E11&gt;=0.4,"Needs Work 📈","Priority 🚨")))</f>
        <v>Priority 🚨</v>
      </c>
    </row>
    <row r="12" customFormat="false" ht="19.5" hidden="false" customHeight="true" outlineLevel="0" collapsed="false">
      <c r="A12" s="77" t="s">
        <v>162</v>
      </c>
      <c r="B12" s="83" t="n">
        <f aca="false">Audit!D43</f>
        <v>0</v>
      </c>
      <c r="C12" s="83"/>
      <c r="D12" s="35" t="n">
        <f aca="false">Audit!E43</f>
        <v>25</v>
      </c>
      <c r="E12" s="84" t="n">
        <f aca="false">IFERROR(B12/D12,0)</f>
        <v>0</v>
      </c>
      <c r="F12" s="85" t="str">
        <f aca="false">IF(E12&gt;=0.8,"Strong ✅",IF(E12&gt;=0.6,"Good 🔧",IF(E12&gt;=0.4,"Needs Work 📈","Priority 🚨")))</f>
        <v>Priority 🚨</v>
      </c>
    </row>
    <row r="13" customFormat="false" ht="19.5" hidden="false" customHeight="true" outlineLevel="0" collapsed="false">
      <c r="A13" s="86" t="s">
        <v>163</v>
      </c>
      <c r="B13" s="87" t="n">
        <f aca="false">Audit!D51</f>
        <v>0</v>
      </c>
      <c r="C13" s="87"/>
      <c r="D13" s="88" t="n">
        <f aca="false">Audit!E51</f>
        <v>25</v>
      </c>
      <c r="E13" s="89" t="n">
        <f aca="false">IFERROR(B13/D13,0)</f>
        <v>0</v>
      </c>
      <c r="F13" s="90" t="str">
        <f aca="false">IF(E13&gt;=0.8,"Strong ✅",IF(E13&gt;=0.6,"Good 🔧",IF(E13&gt;=0.4,"Needs Work 📈","Priority 🚨")))</f>
        <v>Priority 🚨</v>
      </c>
    </row>
    <row r="14" customFormat="false" ht="19.5" hidden="false" customHeight="true" outlineLevel="0" collapsed="false">
      <c r="A14" s="77" t="s">
        <v>164</v>
      </c>
      <c r="B14" s="83" t="n">
        <f aca="false">Audit!D59</f>
        <v>0</v>
      </c>
      <c r="C14" s="83"/>
      <c r="D14" s="35" t="n">
        <f aca="false">Audit!E59</f>
        <v>25</v>
      </c>
      <c r="E14" s="84" t="n">
        <f aca="false">IFERROR(B14/D14,0)</f>
        <v>0</v>
      </c>
      <c r="F14" s="85" t="str">
        <f aca="false">IF(E14&gt;=0.8,"Strong ✅",IF(E14&gt;=0.6,"Good 🔧",IF(E14&gt;=0.4,"Needs Work 📈","Priority 🚨")))</f>
        <v>Priority 🚨</v>
      </c>
    </row>
    <row r="15" customFormat="false" ht="19.5" hidden="false" customHeight="true" outlineLevel="0" collapsed="false">
      <c r="A15" s="86" t="s">
        <v>165</v>
      </c>
      <c r="B15" s="87" t="n">
        <f aca="false">Audit!D67</f>
        <v>0</v>
      </c>
      <c r="C15" s="87"/>
      <c r="D15" s="88" t="n">
        <f aca="false">Audit!E67</f>
        <v>25</v>
      </c>
      <c r="E15" s="89" t="n">
        <f aca="false">IFERROR(B15/D15,0)</f>
        <v>0</v>
      </c>
      <c r="F15" s="90" t="str">
        <f aca="false">IF(E15&gt;=0.8,"Strong ✅",IF(E15&gt;=0.6,"Good 🔧",IF(E15&gt;=0.4,"Needs Work 📈","Priority 🚨")))</f>
        <v>Priority 🚨</v>
      </c>
    </row>
    <row r="16" customFormat="false" ht="13.5" hidden="false" customHeight="true" outlineLevel="0" collapsed="false"/>
    <row r="17" customFormat="false" ht="19.5" hidden="false" customHeight="true" outlineLevel="0" collapsed="false">
      <c r="A17" s="76" t="s">
        <v>166</v>
      </c>
      <c r="B17" s="76"/>
      <c r="C17" s="76"/>
      <c r="D17" s="76"/>
      <c r="E17" s="76"/>
      <c r="F17" s="76"/>
    </row>
    <row r="18" customFormat="false" ht="21.75" hidden="false" customHeight="true" outlineLevel="0" collapsed="false">
      <c r="A18" s="91" t="s">
        <v>167</v>
      </c>
      <c r="B18" s="91"/>
      <c r="C18" s="92"/>
      <c r="D18" s="92"/>
      <c r="E18" s="92"/>
      <c r="F18" s="92"/>
    </row>
    <row r="19" customFormat="false" ht="21.75" hidden="false" customHeight="true" outlineLevel="0" collapsed="false">
      <c r="A19" s="93" t="s">
        <v>168</v>
      </c>
      <c r="B19" s="93"/>
      <c r="C19" s="92"/>
      <c r="D19" s="92"/>
      <c r="E19" s="92"/>
      <c r="F19" s="92"/>
    </row>
    <row r="20" customFormat="false" ht="21.75" hidden="false" customHeight="true" outlineLevel="0" collapsed="false">
      <c r="A20" s="93" t="s">
        <v>169</v>
      </c>
      <c r="B20" s="93"/>
      <c r="C20" s="92"/>
      <c r="D20" s="92"/>
      <c r="E20" s="92"/>
      <c r="F20" s="92"/>
    </row>
    <row r="21" customFormat="false" ht="13.5" hidden="false" customHeight="true" outlineLevel="0" collapsed="false"/>
    <row r="22" customFormat="false" ht="19.5" hidden="false" customHeight="true" outlineLevel="0" collapsed="false">
      <c r="A22" s="82" t="s">
        <v>170</v>
      </c>
      <c r="B22" s="82"/>
      <c r="C22" s="82"/>
      <c r="D22" s="82"/>
      <c r="E22" s="82"/>
      <c r="F22" s="82"/>
    </row>
    <row r="23" customFormat="false" ht="21.75" hidden="false" customHeight="true" outlineLevel="0" collapsed="false">
      <c r="A23" s="94" t="s">
        <v>20</v>
      </c>
      <c r="B23" s="94"/>
      <c r="C23" s="92"/>
      <c r="D23" s="92"/>
      <c r="E23" s="92"/>
      <c r="F23" s="92"/>
    </row>
    <row r="24" customFormat="false" ht="21.75" hidden="false" customHeight="true" outlineLevel="0" collapsed="false">
      <c r="A24" s="95" t="s">
        <v>22</v>
      </c>
      <c r="B24" s="95"/>
      <c r="C24" s="92"/>
      <c r="D24" s="92"/>
      <c r="E24" s="92"/>
      <c r="F24" s="92"/>
    </row>
    <row r="25" customFormat="false" ht="21.75" hidden="false" customHeight="true" outlineLevel="0" collapsed="false">
      <c r="A25" s="94" t="s">
        <v>24</v>
      </c>
      <c r="B25" s="94"/>
      <c r="C25" s="92"/>
      <c r="D25" s="92"/>
      <c r="E25" s="92"/>
      <c r="F25" s="92"/>
    </row>
    <row r="26" customFormat="false" ht="21.75" hidden="false" customHeight="true" outlineLevel="0" collapsed="false">
      <c r="A26" s="95" t="s">
        <v>26</v>
      </c>
      <c r="B26" s="95"/>
      <c r="C26" s="92"/>
      <c r="D26" s="92"/>
      <c r="E26" s="92"/>
      <c r="F26" s="92"/>
    </row>
  </sheetData>
  <mergeCells count="30">
    <mergeCell ref="A1:F1"/>
    <mergeCell ref="A2:C2"/>
    <mergeCell ref="D2:F2"/>
    <mergeCell ref="B4:C4"/>
    <mergeCell ref="B5:C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17:F17"/>
    <mergeCell ref="A18:B18"/>
    <mergeCell ref="C18:F18"/>
    <mergeCell ref="A19:B19"/>
    <mergeCell ref="C19:F19"/>
    <mergeCell ref="A20:B20"/>
    <mergeCell ref="C20:F20"/>
    <mergeCell ref="A22:F22"/>
    <mergeCell ref="A23:B23"/>
    <mergeCell ref="C23:F23"/>
    <mergeCell ref="A24:B24"/>
    <mergeCell ref="C24:F24"/>
    <mergeCell ref="A25:B25"/>
    <mergeCell ref="C25:F25"/>
    <mergeCell ref="A26:B26"/>
    <mergeCell ref="C26:F26"/>
  </mergeCells>
  <conditionalFormatting sqref="E5">
    <cfRule type="cellIs" priority="2" operator="greaterThanOrEqual" aboveAverage="0" equalAverage="0" bottom="0" percent="0" rank="0" text="" dxfId="5">
      <formula>0.75</formula>
    </cfRule>
    <cfRule type="cellIs" priority="3" operator="between" aboveAverage="0" equalAverage="0" bottom="0" percent="0" rank="0" text="" dxfId="4">
      <formula>0.6</formula>
      <formula>0.7499</formula>
    </cfRule>
    <cfRule type="cellIs" priority="4" operator="between" aboveAverage="0" equalAverage="0" bottom="0" percent="0" rank="0" text="" dxfId="2">
      <formula>0.4</formula>
      <formula>0.5999</formula>
    </cfRule>
    <cfRule type="cellIs" priority="5" operator="lessThan" aboveAverage="0" equalAverage="0" bottom="0" percent="0" rank="0" text="" dxfId="1">
      <formula>0.4</formula>
    </cfRule>
  </conditionalFormatting>
  <conditionalFormatting sqref="E8:E15">
    <cfRule type="cellIs" priority="6" operator="greaterThanOrEqual" aboveAverage="0" equalAverage="0" bottom="0" percent="0" rank="0" text="" dxfId="9">
      <formula>0.8</formula>
    </cfRule>
    <cfRule type="cellIs" priority="7" operator="between" aboveAverage="0" equalAverage="0" bottom="0" percent="0" rank="0" text="" dxfId="10">
      <formula>0.6</formula>
      <formula>0.7999</formula>
    </cfRule>
    <cfRule type="cellIs" priority="8" operator="between" aboveAverage="0" equalAverage="0" bottom="0" percent="0" rank="0" text="" dxfId="11">
      <formula>0.4</formula>
      <formula>0.5999</formula>
    </cfRule>
    <cfRule type="cellIs" priority="9" operator="lessThan" aboveAverage="0" equalAverage="0" bottom="0" percent="0" rank="0" text="" dxfId="12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2026-04-13T04:00:06Z</dcterms:created>
  <dc:creator>openpyxl</dc:creator>
  <dc:description/>
  <dc:language>en-US</dc:language>
  <cp:lastModifiedBy/>
  <dcterms:modified xsi:type="dcterms:W3CDTF">2026-04-13T04:00:06Z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