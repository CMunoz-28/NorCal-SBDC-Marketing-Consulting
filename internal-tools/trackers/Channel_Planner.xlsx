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 Overview" sheetId="1" state="visible" r:id="rId3"/>
    <sheet name="Channel Mix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<sst xmlns="http://schemas.openxmlformats.org/spreadsheetml/2006/main" count="184" uniqueCount="134">
  <si>
    <t xml:space="preserve">MARKETING CHANNEL PLANNER  |  NorCal SBDC</t>
  </si>
  <si>
    <t xml:space="preserve">Client / Business:</t>
  </si>
  <si>
    <t xml:space="preserve">Advisor:</t>
  </si>
  <si>
    <t xml:space="preserve">Business Type:</t>
  </si>
  <si>
    <t xml:space="preserve">Monthly Budget:</t>
  </si>
  <si>
    <t xml:space="preserve">Channel</t>
  </si>
  <si>
    <t xml:space="preserve">Type</t>
  </si>
  <si>
    <t xml:space="preserve">Est. Cost</t>
  </si>
  <si>
    <t xml:space="preserve">Best For</t>
  </si>
  <si>
    <t xml:space="preserve">Limitations/Risks</t>
  </si>
  <si>
    <t xml:space="preserve">Using Now?</t>
  </si>
  <si>
    <t xml:space="preserve">Effectiveness</t>
  </si>
  <si>
    <t xml:space="preserve">Priority</t>
  </si>
  <si>
    <t xml:space="preserve">Monthly Budget ($)</t>
  </si>
  <si>
    <t xml:space="preserve">% of Total Budget</t>
  </si>
  <si>
    <t xml:space="preserve">Target Audience</t>
  </si>
  <si>
    <t xml:space="preserve">Goal / KPI</t>
  </si>
  <si>
    <t xml:space="preserve">Notes</t>
  </si>
  <si>
    <t xml:space="preserve">  ORGANIC CHANNELS</t>
  </si>
  <si>
    <t xml:space="preserve">Website / Blog / SEO</t>
  </si>
  <si>
    <t xml:space="preserve">Owned</t>
  </si>
  <si>
    <t xml:space="preserve">Free (time)</t>
  </si>
  <si>
    <t xml:space="preserve">Long-term traffic &amp; credibility</t>
  </si>
  <si>
    <t xml:space="preserve">Slow — 3–6 months to see results</t>
  </si>
  <si>
    <t xml:space="preserve">No</t>
  </si>
  <si>
    <t xml:space="preserve">Instagram (Organic)</t>
  </si>
  <si>
    <t xml:space="preserve">Social</t>
  </si>
  <si>
    <t xml:space="preserve">Visual brand building, community</t>
  </si>
  <si>
    <t xml:space="preserve">Algorithm reach declining</t>
  </si>
  <si>
    <t xml:space="preserve">Facebook (Organic)</t>
  </si>
  <si>
    <t xml:space="preserve">Local community, groups, events</t>
  </si>
  <si>
    <t xml:space="preserve">Lower organic reach</t>
  </si>
  <si>
    <t xml:space="preserve">LinkedIn (Organic)</t>
  </si>
  <si>
    <t xml:space="preserve">B2B, professional credibility</t>
  </si>
  <si>
    <t xml:space="preserve">Best for service businesses</t>
  </si>
  <si>
    <t xml:space="preserve">TikTok (Organic)</t>
  </si>
  <si>
    <t xml:space="preserve">High organic reach, video discovery</t>
  </si>
  <si>
    <t xml:space="preserve">Requires consistent video output</t>
  </si>
  <si>
    <t xml:space="preserve">YouTube (Organic)</t>
  </si>
  <si>
    <t xml:space="preserve">Video</t>
  </si>
  <si>
    <t xml:space="preserve">Long-form authority &amp; SEO</t>
  </si>
  <si>
    <t xml:space="preserve">High production effort</t>
  </si>
  <si>
    <t xml:space="preserve">Pinterest</t>
  </si>
  <si>
    <t xml:space="preserve">Visual product discovery, evergreen</t>
  </si>
  <si>
    <t xml:space="preserve">Best for lifestyle/retail/food</t>
  </si>
  <si>
    <t xml:space="preserve">Google Business Profile</t>
  </si>
  <si>
    <t xml:space="preserve">Local</t>
  </si>
  <si>
    <t xml:space="preserve">Free</t>
  </si>
  <si>
    <t xml:space="preserve">Local search visibility, reviews</t>
  </si>
  <si>
    <t xml:space="preserve">Requires ongoing management</t>
  </si>
  <si>
    <t xml:space="preserve">Email Marketing</t>
  </si>
  <si>
    <t xml:space="preserve">$0–$50/mo</t>
  </si>
  <si>
    <t xml:space="preserve">Highest ROI, direct to customer</t>
  </si>
  <si>
    <t xml:space="preserve">Requires list building</t>
  </si>
  <si>
    <t xml:space="preserve">Word of Mouth / Referrals</t>
  </si>
  <si>
    <t xml:space="preserve">Organic</t>
  </si>
  <si>
    <t xml:space="preserve">High conversion, trust-based</t>
  </si>
  <si>
    <t xml:space="preserve">Slow to scale</t>
  </si>
  <si>
    <t xml:space="preserve">  PAID CHANNELS</t>
  </si>
  <si>
    <t xml:space="preserve">Google Search Ads (PPC)</t>
  </si>
  <si>
    <t xml:space="preserve">Paid</t>
  </si>
  <si>
    <t xml:space="preserve">$300–$2K+/mo</t>
  </si>
  <si>
    <t xml:space="preserve">High intent, immediate traffic</t>
  </si>
  <si>
    <t xml:space="preserve">Competitive, requires expertise</t>
  </si>
  <si>
    <t xml:space="preserve">Google Display Ads</t>
  </si>
  <si>
    <t xml:space="preserve">$200–$1K+/mo</t>
  </si>
  <si>
    <t xml:space="preserve">Brand awareness, retargeting</t>
  </si>
  <si>
    <t xml:space="preserve">Lower intent, banner blindness</t>
  </si>
  <si>
    <t xml:space="preserve">Meta Ads (Facebook/Instagram)</t>
  </si>
  <si>
    <t xml:space="preserve">$200–$2K+/mo</t>
  </si>
  <si>
    <t xml:space="preserve">Precise audience targeting</t>
  </si>
  <si>
    <t xml:space="preserve">Requires creative testing</t>
  </si>
  <si>
    <t xml:space="preserve">TikTok Ads</t>
  </si>
  <si>
    <t xml:space="preserve">$300–$1K+/mo</t>
  </si>
  <si>
    <t xml:space="preserve">Massive reach, younger audiences</t>
  </si>
  <si>
    <t xml:space="preserve">Creative-intensive</t>
  </si>
  <si>
    <t xml:space="preserve">Pinterest Ads</t>
  </si>
  <si>
    <t xml:space="preserve">$100–$500/mo</t>
  </si>
  <si>
    <t xml:space="preserve">Visual product promotion</t>
  </si>
  <si>
    <t xml:space="preserve">Best for retail/e-commerce</t>
  </si>
  <si>
    <t xml:space="preserve">YouTube Ads</t>
  </si>
  <si>
    <t xml:space="preserve">Video reach, brand awareness</t>
  </si>
  <si>
    <t xml:space="preserve">Skippable, creative effort</t>
  </si>
  <si>
    <t xml:space="preserve">Influencer / Creator Marketing</t>
  </si>
  <si>
    <t xml:space="preserve">$100–$5K+/post</t>
  </si>
  <si>
    <t xml:space="preserve">Authentic reach, niche audiences</t>
  </si>
  <si>
    <t xml:space="preserve">Variable ROI</t>
  </si>
  <si>
    <t xml:space="preserve">Yelp Ads</t>
  </si>
  <si>
    <t xml:space="preserve">$150–$500/mo</t>
  </si>
  <si>
    <t xml:space="preserve">Local service discovery</t>
  </si>
  <si>
    <t xml:space="preserve">Best for local brick-and-mortar</t>
  </si>
  <si>
    <t xml:space="preserve">  E-COMMERCE CHANNELS</t>
  </si>
  <si>
    <t xml:space="preserve">Shopify (Own Website)</t>
  </si>
  <si>
    <t xml:space="preserve">E-comm</t>
  </si>
  <si>
    <t xml:space="preserve">$39–$105/mo</t>
  </si>
  <si>
    <t xml:space="preserve">Full control, brand experience</t>
  </si>
  <si>
    <t xml:space="preserve">Requires traffic generation</t>
  </si>
  <si>
    <t xml:space="preserve">Amazon Marketplace</t>
  </si>
  <si>
    <t xml:space="preserve">15% fees + ads</t>
  </si>
  <si>
    <t xml:space="preserve">Huge audience, high intent</t>
  </si>
  <si>
    <t xml:space="preserve">Competitive, margin pressure</t>
  </si>
  <si>
    <t xml:space="preserve">Etsy</t>
  </si>
  <si>
    <t xml:space="preserve">$0.20/listing + 6.5%</t>
  </si>
  <si>
    <t xml:space="preserve">Crafts/handmade, built-in traffic</t>
  </si>
  <si>
    <t xml:space="preserve">Limited to certain categories</t>
  </si>
  <si>
    <t xml:space="preserve">Facebook / Instagram Shop</t>
  </si>
  <si>
    <t xml:space="preserve">Free + ad spend</t>
  </si>
  <si>
    <t xml:space="preserve">In-app shopping, social proof</t>
  </si>
  <si>
    <t xml:space="preserve">Reach depends on paid support</t>
  </si>
  <si>
    <t xml:space="preserve">Google Shopping</t>
  </si>
  <si>
    <t xml:space="preserve">CPC-based</t>
  </si>
  <si>
    <t xml:space="preserve">High-intent product searches</t>
  </si>
  <si>
    <t xml:space="preserve">Requires product feed setup</t>
  </si>
  <si>
    <t xml:space="preserve">TikTok Shop</t>
  </si>
  <si>
    <t xml:space="preserve">5% commission</t>
  </si>
  <si>
    <t xml:space="preserve">Viral product discovery</t>
  </si>
  <si>
    <t xml:space="preserve">Newer platform, younger audience</t>
  </si>
  <si>
    <t xml:space="preserve">Wholesale / Retailer Partners</t>
  </si>
  <si>
    <t xml:space="preserve">B2B</t>
  </si>
  <si>
    <t xml:space="preserve">Negotiated</t>
  </si>
  <si>
    <t xml:space="preserve">Scalable volume, new audiences</t>
  </si>
  <si>
    <t xml:space="preserve">Lower margins, less control</t>
  </si>
  <si>
    <t xml:space="preserve">TOTAL MONTHLY BUDGET ALLOCATED</t>
  </si>
  <si>
    <t xml:space="preserve">CHANNEL MIX SUMMARY  |  NorCal SBDC</t>
  </si>
  <si>
    <t xml:space="preserve">Use this sheet to plan your channel mix by category and review budget allocation at a glance.</t>
  </si>
  <si>
    <t xml:space="preserve">Channel Category</t>
  </si>
  <si>
    <t xml:space="preserve">Channels Active</t>
  </si>
  <si>
    <t xml:space="preserve">Budget Allocated</t>
  </si>
  <si>
    <t xml:space="preserve">% of Total</t>
  </si>
  <si>
    <t xml:space="preserve">Priority Focus</t>
  </si>
  <si>
    <t xml:space="preserve">Organic Channels</t>
  </si>
  <si>
    <t xml:space="preserve">Paid Channels</t>
  </si>
  <si>
    <t xml:space="preserve">E-commerce Channels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</si>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</sst>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9"/>
      <color rgb="FF11111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1B3A5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EF1"/>
        <bgColor rgb="FFD4EDDA"/>
      </patternFill>
    </fill>
    <fill>
      <patternFill patternType="solid">
        <fgColor rgb="FFFFFFFF"/>
        <bgColor rgb="FFF5F5F5"/>
      </patternFill>
    </fill>
    <fill>
      <patternFill patternType="solid">
        <fgColor rgb="FFFDF3E0"/>
        <bgColor rgb="FFFFF3CD"/>
      </patternFill>
    </fill>
    <fill>
      <patternFill patternType="solid">
        <fgColor rgb="FF2E7D8C"/>
        <bgColor rgb="FF008080"/>
      </patternFill>
    </fill>
    <fill>
      <patternFill patternType="solid">
        <fgColor rgb="FFF5F5F5"/>
        <bgColor rgb="FFFDF3E0"/>
      </patternFill>
    </fill>
    <fill>
      <patternFill patternType="solid">
        <fgColor rgb="FFD4EDDA"/>
        <bgColor rgb="FFD6EEF1"/>
      </patternFill>
    </fill>
    <fill>
      <patternFill patternType="solid">
        <fgColor rgb="FFFFF3CD"/>
        <bgColor rgb="FFFDF3E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E8A020"/>
      </left>
      <right style="thin">
        <color rgb="FFE8A020"/>
      </right>
      <top style="thin">
        <color rgb="FFE8A020"/>
      </top>
      <bottom style="thin">
        <color rgb="FFE8A02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1B3A5C"/>
      </left>
      <right/>
      <top style="medium">
        <color rgb="FF1B3A5C"/>
      </top>
      <bottom style="medium">
        <color rgb="FF1B3A5C"/>
      </bottom>
      <diagonal/>
    </border>
    <border diagonalUp="false" diagonalDown="false"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 diagonalUp="false" diagonalDown="false">
      <left style="thin">
        <color rgb="FFE8A020"/>
      </left>
      <right/>
      <top style="thin">
        <color rgb="FFE8A020"/>
      </top>
      <bottom style="thin">
        <color rgb="FFE8A0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D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32"/>
    <col collapsed="false" customWidth="true" hidden="false" outlineLevel="0" max="6" min="6" style="0" width="12"/>
    <col collapsed="false" customWidth="true" hidden="false" outlineLevel="0" max="10" min="7" style="0" width="14"/>
    <col collapsed="false" customWidth="true" hidden="false" outlineLevel="0" max="12" min="11" style="0" width="18"/>
    <col collapsed="false" customWidth="true" hidden="false" outlineLevel="0" max="13" min="13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4" t="s">
        <v>2</v>
      </c>
      <c r="F2" s="3"/>
      <c r="G2" s="3"/>
      <c r="H2" s="3"/>
      <c r="I2" s="4" t="s">
        <v>3</v>
      </c>
      <c r="J2" s="3"/>
      <c r="K2" s="3"/>
      <c r="L2" s="4" t="s">
        <v>4</v>
      </c>
      <c r="M2" s="5" t="n">
        <v>0</v>
      </c>
    </row>
    <row r="3" customFormat="false" ht="30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</row>
    <row r="4" customFormat="false" ht="21.75" hidden="false" customHeight="true" outlineLevel="0" collapsed="false">
      <c r="A4" s="7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21.75" hidden="false" customHeight="true" outlineLevel="0" collapsed="false">
      <c r="A5" s="8" t="s">
        <v>19</v>
      </c>
      <c r="B5" s="9" t="s">
        <v>20</v>
      </c>
      <c r="C5" s="9" t="s">
        <v>21</v>
      </c>
      <c r="D5" s="10" t="s">
        <v>22</v>
      </c>
      <c r="E5" s="10" t="s">
        <v>23</v>
      </c>
      <c r="F5" s="11" t="s">
        <v>24</v>
      </c>
      <c r="G5" s="12"/>
      <c r="H5" s="12"/>
      <c r="I5" s="13" t="n">
        <v>0</v>
      </c>
      <c r="J5" s="14" t="n">
        <f aca="false">IFERROR(I5/'Channel Overview'!K2,0)</f>
        <v>0</v>
      </c>
      <c r="K5" s="15"/>
      <c r="L5" s="15"/>
      <c r="M5" s="15"/>
    </row>
    <row r="6" customFormat="false" ht="21.75" hidden="false" customHeight="true" outlineLevel="0" collapsed="false">
      <c r="A6" s="16" t="s">
        <v>25</v>
      </c>
      <c r="B6" s="17" t="s">
        <v>26</v>
      </c>
      <c r="C6" s="17" t="s">
        <v>21</v>
      </c>
      <c r="D6" s="18" t="s">
        <v>27</v>
      </c>
      <c r="E6" s="18" t="s">
        <v>28</v>
      </c>
      <c r="F6" s="19" t="s">
        <v>24</v>
      </c>
      <c r="G6" s="20"/>
      <c r="H6" s="20"/>
      <c r="I6" s="21" t="n">
        <v>0</v>
      </c>
      <c r="J6" s="22" t="n">
        <f aca="false">IFERROR(I6/'Channel Overview'!K2,0)</f>
        <v>0</v>
      </c>
      <c r="K6" s="23"/>
      <c r="L6" s="23"/>
      <c r="M6" s="23"/>
    </row>
    <row r="7" customFormat="false" ht="21.75" hidden="false" customHeight="true" outlineLevel="0" collapsed="false">
      <c r="A7" s="8" t="s">
        <v>29</v>
      </c>
      <c r="B7" s="9" t="s">
        <v>26</v>
      </c>
      <c r="C7" s="9" t="s">
        <v>21</v>
      </c>
      <c r="D7" s="10" t="s">
        <v>30</v>
      </c>
      <c r="E7" s="10" t="s">
        <v>31</v>
      </c>
      <c r="F7" s="11" t="s">
        <v>24</v>
      </c>
      <c r="G7" s="12"/>
      <c r="H7" s="12"/>
      <c r="I7" s="13" t="n">
        <v>0</v>
      </c>
      <c r="J7" s="14" t="n">
        <f aca="false">IFERROR(I7/'Channel Overview'!K2,0)</f>
        <v>0</v>
      </c>
      <c r="K7" s="15"/>
      <c r="L7" s="15"/>
      <c r="M7" s="15"/>
    </row>
    <row r="8" customFormat="false" ht="21.75" hidden="false" customHeight="true" outlineLevel="0" collapsed="false">
      <c r="A8" s="16" t="s">
        <v>32</v>
      </c>
      <c r="B8" s="17" t="s">
        <v>26</v>
      </c>
      <c r="C8" s="17" t="s">
        <v>21</v>
      </c>
      <c r="D8" s="18" t="s">
        <v>33</v>
      </c>
      <c r="E8" s="18" t="s">
        <v>34</v>
      </c>
      <c r="F8" s="19" t="s">
        <v>24</v>
      </c>
      <c r="G8" s="20"/>
      <c r="H8" s="20"/>
      <c r="I8" s="21" t="n">
        <v>0</v>
      </c>
      <c r="J8" s="22" t="n">
        <f aca="false">IFERROR(I8/'Channel Overview'!K2,0)</f>
        <v>0</v>
      </c>
      <c r="K8" s="23"/>
      <c r="L8" s="23"/>
      <c r="M8" s="23"/>
    </row>
    <row r="9" customFormat="false" ht="21.75" hidden="false" customHeight="true" outlineLevel="0" collapsed="false">
      <c r="A9" s="8" t="s">
        <v>35</v>
      </c>
      <c r="B9" s="9" t="s">
        <v>26</v>
      </c>
      <c r="C9" s="9" t="s">
        <v>21</v>
      </c>
      <c r="D9" s="10" t="s">
        <v>36</v>
      </c>
      <c r="E9" s="10" t="s">
        <v>37</v>
      </c>
      <c r="F9" s="11" t="s">
        <v>24</v>
      </c>
      <c r="G9" s="12"/>
      <c r="H9" s="12"/>
      <c r="I9" s="13" t="n">
        <v>0</v>
      </c>
      <c r="J9" s="14" t="n">
        <f aca="false">IFERROR(I9/'Channel Overview'!K2,0)</f>
        <v>0</v>
      </c>
      <c r="K9" s="15"/>
      <c r="L9" s="15"/>
      <c r="M9" s="15"/>
    </row>
    <row r="10" customFormat="false" ht="21.75" hidden="false" customHeight="true" outlineLevel="0" collapsed="false">
      <c r="A10" s="16" t="s">
        <v>38</v>
      </c>
      <c r="B10" s="17" t="s">
        <v>39</v>
      </c>
      <c r="C10" s="17" t="s">
        <v>21</v>
      </c>
      <c r="D10" s="18" t="s">
        <v>40</v>
      </c>
      <c r="E10" s="18" t="s">
        <v>41</v>
      </c>
      <c r="F10" s="19" t="s">
        <v>24</v>
      </c>
      <c r="G10" s="20"/>
      <c r="H10" s="20"/>
      <c r="I10" s="21" t="n">
        <v>0</v>
      </c>
      <c r="J10" s="22" t="n">
        <f aca="false">IFERROR(I10/'Channel Overview'!K2,0)</f>
        <v>0</v>
      </c>
      <c r="K10" s="23"/>
      <c r="L10" s="23"/>
      <c r="M10" s="23"/>
    </row>
    <row r="11" customFormat="false" ht="21.75" hidden="false" customHeight="true" outlineLevel="0" collapsed="false">
      <c r="A11" s="8" t="s">
        <v>42</v>
      </c>
      <c r="B11" s="9" t="s">
        <v>26</v>
      </c>
      <c r="C11" s="9" t="s">
        <v>21</v>
      </c>
      <c r="D11" s="10" t="s">
        <v>43</v>
      </c>
      <c r="E11" s="10" t="s">
        <v>44</v>
      </c>
      <c r="F11" s="11" t="s">
        <v>24</v>
      </c>
      <c r="G11" s="12"/>
      <c r="H11" s="12"/>
      <c r="I11" s="13" t="n">
        <v>0</v>
      </c>
      <c r="J11" s="14" t="n">
        <f aca="false">IFERROR(I11/'Channel Overview'!K2,0)</f>
        <v>0</v>
      </c>
      <c r="K11" s="15"/>
      <c r="L11" s="15"/>
      <c r="M11" s="15"/>
    </row>
    <row r="12" customFormat="false" ht="21.75" hidden="false" customHeight="true" outlineLevel="0" collapsed="false">
      <c r="A12" s="16" t="s">
        <v>45</v>
      </c>
      <c r="B12" s="17" t="s">
        <v>46</v>
      </c>
      <c r="C12" s="17" t="s">
        <v>47</v>
      </c>
      <c r="D12" s="18" t="s">
        <v>48</v>
      </c>
      <c r="E12" s="18" t="s">
        <v>49</v>
      </c>
      <c r="F12" s="19" t="s">
        <v>24</v>
      </c>
      <c r="G12" s="20"/>
      <c r="H12" s="20"/>
      <c r="I12" s="21" t="n">
        <v>0</v>
      </c>
      <c r="J12" s="22" t="n">
        <f aca="false">IFERROR(I12/'Channel Overview'!K2,0)</f>
        <v>0</v>
      </c>
      <c r="K12" s="23"/>
      <c r="L12" s="23"/>
      <c r="M12" s="23"/>
    </row>
    <row r="13" customFormat="false" ht="21.75" hidden="false" customHeight="true" outlineLevel="0" collapsed="false">
      <c r="A13" s="8" t="s">
        <v>50</v>
      </c>
      <c r="B13" s="9" t="s">
        <v>20</v>
      </c>
      <c r="C13" s="9" t="s">
        <v>51</v>
      </c>
      <c r="D13" s="10" t="s">
        <v>52</v>
      </c>
      <c r="E13" s="10" t="s">
        <v>53</v>
      </c>
      <c r="F13" s="11" t="s">
        <v>24</v>
      </c>
      <c r="G13" s="12"/>
      <c r="H13" s="12"/>
      <c r="I13" s="13" t="n">
        <v>0</v>
      </c>
      <c r="J13" s="14" t="n">
        <f aca="false">IFERROR(I13/'Channel Overview'!K2,0)</f>
        <v>0</v>
      </c>
      <c r="K13" s="15"/>
      <c r="L13" s="15"/>
      <c r="M13" s="15"/>
    </row>
    <row r="14" customFormat="false" ht="21.75" hidden="false" customHeight="true" outlineLevel="0" collapsed="false">
      <c r="A14" s="16" t="s">
        <v>54</v>
      </c>
      <c r="B14" s="17" t="s">
        <v>55</v>
      </c>
      <c r="C14" s="17" t="s">
        <v>47</v>
      </c>
      <c r="D14" s="18" t="s">
        <v>56</v>
      </c>
      <c r="E14" s="18" t="s">
        <v>57</v>
      </c>
      <c r="F14" s="19" t="s">
        <v>24</v>
      </c>
      <c r="G14" s="20"/>
      <c r="H14" s="20"/>
      <c r="I14" s="21" t="n">
        <v>0</v>
      </c>
      <c r="J14" s="22" t="n">
        <f aca="false">IFERROR(I14/'Channel Overview'!K2,0)</f>
        <v>0</v>
      </c>
      <c r="K14" s="23"/>
      <c r="L14" s="23"/>
      <c r="M14" s="23"/>
    </row>
    <row r="16" customFormat="false" ht="21.75" hidden="false" customHeight="true" outlineLevel="0" collapsed="false">
      <c r="A16" s="7" t="s">
        <v>58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21.75" hidden="false" customHeight="true" outlineLevel="0" collapsed="false">
      <c r="A17" s="8" t="s">
        <v>59</v>
      </c>
      <c r="B17" s="9" t="s">
        <v>60</v>
      </c>
      <c r="C17" s="9" t="s">
        <v>61</v>
      </c>
      <c r="D17" s="10" t="s">
        <v>62</v>
      </c>
      <c r="E17" s="10" t="s">
        <v>63</v>
      </c>
      <c r="F17" s="11" t="s">
        <v>24</v>
      </c>
      <c r="G17" s="12"/>
      <c r="H17" s="12"/>
      <c r="I17" s="13" t="n">
        <v>0</v>
      </c>
      <c r="J17" s="14" t="n">
        <f aca="false">IFERROR(I17/'Channel Overview'!K2,0)</f>
        <v>0</v>
      </c>
      <c r="K17" s="15"/>
      <c r="L17" s="15"/>
      <c r="M17" s="15"/>
    </row>
    <row r="18" customFormat="false" ht="21.75" hidden="false" customHeight="true" outlineLevel="0" collapsed="false">
      <c r="A18" s="16" t="s">
        <v>64</v>
      </c>
      <c r="B18" s="17" t="s">
        <v>60</v>
      </c>
      <c r="C18" s="17" t="s">
        <v>65</v>
      </c>
      <c r="D18" s="18" t="s">
        <v>66</v>
      </c>
      <c r="E18" s="18" t="s">
        <v>67</v>
      </c>
      <c r="F18" s="19" t="s">
        <v>24</v>
      </c>
      <c r="G18" s="20"/>
      <c r="H18" s="20"/>
      <c r="I18" s="21" t="n">
        <v>0</v>
      </c>
      <c r="J18" s="22" t="n">
        <f aca="false">IFERROR(I18/'Channel Overview'!K2,0)</f>
        <v>0</v>
      </c>
      <c r="K18" s="23"/>
      <c r="L18" s="23"/>
      <c r="M18" s="23"/>
    </row>
    <row r="19" customFormat="false" ht="21.75" hidden="false" customHeight="true" outlineLevel="0" collapsed="false">
      <c r="A19" s="8" t="s">
        <v>68</v>
      </c>
      <c r="B19" s="9" t="s">
        <v>60</v>
      </c>
      <c r="C19" s="9" t="s">
        <v>69</v>
      </c>
      <c r="D19" s="10" t="s">
        <v>70</v>
      </c>
      <c r="E19" s="10" t="s">
        <v>71</v>
      </c>
      <c r="F19" s="11" t="s">
        <v>24</v>
      </c>
      <c r="G19" s="12"/>
      <c r="H19" s="12"/>
      <c r="I19" s="13" t="n">
        <v>0</v>
      </c>
      <c r="J19" s="14" t="n">
        <f aca="false">IFERROR(I19/'Channel Overview'!K2,0)</f>
        <v>0</v>
      </c>
      <c r="K19" s="15"/>
      <c r="L19" s="15"/>
      <c r="M19" s="15"/>
    </row>
    <row r="20" customFormat="false" ht="21.75" hidden="false" customHeight="true" outlineLevel="0" collapsed="false">
      <c r="A20" s="16" t="s">
        <v>72</v>
      </c>
      <c r="B20" s="17" t="s">
        <v>60</v>
      </c>
      <c r="C20" s="17" t="s">
        <v>73</v>
      </c>
      <c r="D20" s="18" t="s">
        <v>74</v>
      </c>
      <c r="E20" s="18" t="s">
        <v>75</v>
      </c>
      <c r="F20" s="19" t="s">
        <v>24</v>
      </c>
      <c r="G20" s="20"/>
      <c r="H20" s="20"/>
      <c r="I20" s="21" t="n">
        <v>0</v>
      </c>
      <c r="J20" s="22" t="n">
        <f aca="false">IFERROR(I20/'Channel Overview'!K2,0)</f>
        <v>0</v>
      </c>
      <c r="K20" s="23"/>
      <c r="L20" s="23"/>
      <c r="M20" s="23"/>
    </row>
    <row r="21" customFormat="false" ht="21.75" hidden="false" customHeight="true" outlineLevel="0" collapsed="false">
      <c r="A21" s="8" t="s">
        <v>76</v>
      </c>
      <c r="B21" s="9" t="s">
        <v>60</v>
      </c>
      <c r="C21" s="9" t="s">
        <v>77</v>
      </c>
      <c r="D21" s="10" t="s">
        <v>78</v>
      </c>
      <c r="E21" s="10" t="s">
        <v>79</v>
      </c>
      <c r="F21" s="11" t="s">
        <v>24</v>
      </c>
      <c r="G21" s="12"/>
      <c r="H21" s="12"/>
      <c r="I21" s="13" t="n">
        <v>0</v>
      </c>
      <c r="J21" s="14" t="n">
        <f aca="false">IFERROR(I21/'Channel Overview'!K2,0)</f>
        <v>0</v>
      </c>
      <c r="K21" s="15"/>
      <c r="L21" s="15"/>
      <c r="M21" s="15"/>
    </row>
    <row r="22" customFormat="false" ht="21.75" hidden="false" customHeight="true" outlineLevel="0" collapsed="false">
      <c r="A22" s="16" t="s">
        <v>80</v>
      </c>
      <c r="B22" s="17" t="s">
        <v>60</v>
      </c>
      <c r="C22" s="17" t="s">
        <v>73</v>
      </c>
      <c r="D22" s="18" t="s">
        <v>81</v>
      </c>
      <c r="E22" s="18" t="s">
        <v>82</v>
      </c>
      <c r="F22" s="19" t="s">
        <v>24</v>
      </c>
      <c r="G22" s="20"/>
      <c r="H22" s="20"/>
      <c r="I22" s="21" t="n">
        <v>0</v>
      </c>
      <c r="J22" s="22" t="n">
        <f aca="false">IFERROR(I22/'Channel Overview'!K2,0)</f>
        <v>0</v>
      </c>
      <c r="K22" s="23"/>
      <c r="L22" s="23"/>
      <c r="M22" s="23"/>
    </row>
    <row r="23" customFormat="false" ht="21.75" hidden="false" customHeight="true" outlineLevel="0" collapsed="false">
      <c r="A23" s="8" t="s">
        <v>83</v>
      </c>
      <c r="B23" s="9" t="s">
        <v>60</v>
      </c>
      <c r="C23" s="9" t="s">
        <v>84</v>
      </c>
      <c r="D23" s="10" t="s">
        <v>85</v>
      </c>
      <c r="E23" s="10" t="s">
        <v>86</v>
      </c>
      <c r="F23" s="11" t="s">
        <v>24</v>
      </c>
      <c r="G23" s="12"/>
      <c r="H23" s="12"/>
      <c r="I23" s="13" t="n">
        <v>0</v>
      </c>
      <c r="J23" s="14" t="n">
        <f aca="false">IFERROR(I23/'Channel Overview'!K2,0)</f>
        <v>0</v>
      </c>
      <c r="K23" s="15"/>
      <c r="L23" s="15"/>
      <c r="M23" s="15"/>
    </row>
    <row r="24" customFormat="false" ht="21.75" hidden="false" customHeight="true" outlineLevel="0" collapsed="false">
      <c r="A24" s="16" t="s">
        <v>87</v>
      </c>
      <c r="B24" s="17" t="s">
        <v>60</v>
      </c>
      <c r="C24" s="17" t="s">
        <v>88</v>
      </c>
      <c r="D24" s="18" t="s">
        <v>89</v>
      </c>
      <c r="E24" s="18" t="s">
        <v>90</v>
      </c>
      <c r="F24" s="19" t="s">
        <v>24</v>
      </c>
      <c r="G24" s="20"/>
      <c r="H24" s="20"/>
      <c r="I24" s="21" t="n">
        <v>0</v>
      </c>
      <c r="J24" s="22" t="n">
        <f aca="false">IFERROR(I24/'Channel Overview'!K2,0)</f>
        <v>0</v>
      </c>
      <c r="K24" s="23"/>
      <c r="L24" s="23"/>
      <c r="M24" s="23"/>
    </row>
    <row r="26" customFormat="false" ht="21.75" hidden="false" customHeight="true" outlineLevel="0" collapsed="false">
      <c r="A26" s="7" t="s">
        <v>91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customFormat="false" ht="21.75" hidden="false" customHeight="true" outlineLevel="0" collapsed="false">
      <c r="A27" s="8" t="s">
        <v>92</v>
      </c>
      <c r="B27" s="9" t="s">
        <v>93</v>
      </c>
      <c r="C27" s="9" t="s">
        <v>94</v>
      </c>
      <c r="D27" s="10" t="s">
        <v>95</v>
      </c>
      <c r="E27" s="10" t="s">
        <v>96</v>
      </c>
      <c r="F27" s="11" t="s">
        <v>24</v>
      </c>
      <c r="G27" s="12"/>
      <c r="H27" s="12"/>
      <c r="I27" s="13" t="n">
        <v>0</v>
      </c>
      <c r="J27" s="14" t="n">
        <f aca="false">IFERROR(I27/'Channel Overview'!K2,0)</f>
        <v>0</v>
      </c>
      <c r="K27" s="15"/>
      <c r="L27" s="15"/>
      <c r="M27" s="15"/>
    </row>
    <row r="28" customFormat="false" ht="21.75" hidden="false" customHeight="true" outlineLevel="0" collapsed="false">
      <c r="A28" s="16" t="s">
        <v>97</v>
      </c>
      <c r="B28" s="17" t="s">
        <v>93</v>
      </c>
      <c r="C28" s="17" t="s">
        <v>98</v>
      </c>
      <c r="D28" s="18" t="s">
        <v>99</v>
      </c>
      <c r="E28" s="18" t="s">
        <v>100</v>
      </c>
      <c r="F28" s="19" t="s">
        <v>24</v>
      </c>
      <c r="G28" s="20"/>
      <c r="H28" s="20"/>
      <c r="I28" s="21" t="n">
        <v>0</v>
      </c>
      <c r="J28" s="22" t="n">
        <f aca="false">IFERROR(I28/'Channel Overview'!K2,0)</f>
        <v>0</v>
      </c>
      <c r="K28" s="23"/>
      <c r="L28" s="23"/>
      <c r="M28" s="23"/>
    </row>
    <row r="29" customFormat="false" ht="21.75" hidden="false" customHeight="true" outlineLevel="0" collapsed="false">
      <c r="A29" s="8" t="s">
        <v>101</v>
      </c>
      <c r="B29" s="9" t="s">
        <v>93</v>
      </c>
      <c r="C29" s="9" t="s">
        <v>102</v>
      </c>
      <c r="D29" s="10" t="s">
        <v>103</v>
      </c>
      <c r="E29" s="10" t="s">
        <v>104</v>
      </c>
      <c r="F29" s="11" t="s">
        <v>24</v>
      </c>
      <c r="G29" s="12"/>
      <c r="H29" s="12"/>
      <c r="I29" s="13" t="n">
        <v>0</v>
      </c>
      <c r="J29" s="14" t="n">
        <f aca="false">IFERROR(I29/'Channel Overview'!K2,0)</f>
        <v>0</v>
      </c>
      <c r="K29" s="15"/>
      <c r="L29" s="15"/>
      <c r="M29" s="15"/>
    </row>
    <row r="30" customFormat="false" ht="21.75" hidden="false" customHeight="true" outlineLevel="0" collapsed="false">
      <c r="A30" s="16" t="s">
        <v>105</v>
      </c>
      <c r="B30" s="17" t="s">
        <v>93</v>
      </c>
      <c r="C30" s="17" t="s">
        <v>106</v>
      </c>
      <c r="D30" s="18" t="s">
        <v>107</v>
      </c>
      <c r="E30" s="18" t="s">
        <v>108</v>
      </c>
      <c r="F30" s="19" t="s">
        <v>24</v>
      </c>
      <c r="G30" s="20"/>
      <c r="H30" s="20"/>
      <c r="I30" s="21" t="n">
        <v>0</v>
      </c>
      <c r="J30" s="22" t="n">
        <f aca="false">IFERROR(I30/'Channel Overview'!K2,0)</f>
        <v>0</v>
      </c>
      <c r="K30" s="23"/>
      <c r="L30" s="23"/>
      <c r="M30" s="23"/>
    </row>
    <row r="31" customFormat="false" ht="21.75" hidden="false" customHeight="true" outlineLevel="0" collapsed="false">
      <c r="A31" s="8" t="s">
        <v>109</v>
      </c>
      <c r="B31" s="9" t="s">
        <v>93</v>
      </c>
      <c r="C31" s="9" t="s">
        <v>110</v>
      </c>
      <c r="D31" s="10" t="s">
        <v>111</v>
      </c>
      <c r="E31" s="10" t="s">
        <v>112</v>
      </c>
      <c r="F31" s="11" t="s">
        <v>24</v>
      </c>
      <c r="G31" s="12"/>
      <c r="H31" s="12"/>
      <c r="I31" s="13" t="n">
        <v>0</v>
      </c>
      <c r="J31" s="14" t="n">
        <f aca="false">IFERROR(I31/'Channel Overview'!K2,0)</f>
        <v>0</v>
      </c>
      <c r="K31" s="15"/>
      <c r="L31" s="15"/>
      <c r="M31" s="15"/>
    </row>
    <row r="32" customFormat="false" ht="21.75" hidden="false" customHeight="true" outlineLevel="0" collapsed="false">
      <c r="A32" s="16" t="s">
        <v>113</v>
      </c>
      <c r="B32" s="17" t="s">
        <v>93</v>
      </c>
      <c r="C32" s="17" t="s">
        <v>114</v>
      </c>
      <c r="D32" s="18" t="s">
        <v>115</v>
      </c>
      <c r="E32" s="18" t="s">
        <v>116</v>
      </c>
      <c r="F32" s="19" t="s">
        <v>24</v>
      </c>
      <c r="G32" s="20"/>
      <c r="H32" s="20"/>
      <c r="I32" s="21" t="n">
        <v>0</v>
      </c>
      <c r="J32" s="22" t="n">
        <f aca="false">IFERROR(I32/'Channel Overview'!K2,0)</f>
        <v>0</v>
      </c>
      <c r="K32" s="23"/>
      <c r="L32" s="23"/>
      <c r="M32" s="23"/>
    </row>
    <row r="33" customFormat="false" ht="21.75" hidden="false" customHeight="true" outlineLevel="0" collapsed="false">
      <c r="A33" s="8" t="s">
        <v>117</v>
      </c>
      <c r="B33" s="9" t="s">
        <v>118</v>
      </c>
      <c r="C33" s="9" t="s">
        <v>119</v>
      </c>
      <c r="D33" s="10" t="s">
        <v>120</v>
      </c>
      <c r="E33" s="10" t="s">
        <v>121</v>
      </c>
      <c r="F33" s="11" t="s">
        <v>24</v>
      </c>
      <c r="G33" s="12"/>
      <c r="H33" s="12"/>
      <c r="I33" s="13" t="n">
        <v>0</v>
      </c>
      <c r="J33" s="14" t="n">
        <f aca="false">IFERROR(I33/'Channel Overview'!K2,0)</f>
        <v>0</v>
      </c>
      <c r="K33" s="15"/>
      <c r="L33" s="15"/>
      <c r="M33" s="15"/>
    </row>
    <row r="35" customFormat="false" ht="21.75" hidden="false" customHeight="true" outlineLevel="0" collapsed="false">
      <c r="A35" s="24" t="s">
        <v>122</v>
      </c>
      <c r="B35" s="24"/>
      <c r="C35" s="24"/>
      <c r="D35" s="24"/>
      <c r="E35" s="24"/>
      <c r="F35" s="24"/>
      <c r="G35" s="24"/>
      <c r="H35" s="24"/>
      <c r="I35" s="25" t="n">
        <f aca="false">SUM(I4:I34)</f>
        <v>0</v>
      </c>
      <c r="J35" s="26" t="n">
        <f aca="false">IFERROR(I35/K2,0)</f>
        <v>0</v>
      </c>
      <c r="K35" s="27"/>
      <c r="L35" s="27"/>
      <c r="M35" s="27"/>
    </row>
  </sheetData>
  <mergeCells count="10">
    <mergeCell ref="A1:M1"/>
    <mergeCell ref="A2:B2"/>
    <mergeCell ref="C2:D2"/>
    <mergeCell ref="F2:H2"/>
    <mergeCell ref="J2:K2"/>
    <mergeCell ref="A4:M4"/>
    <mergeCell ref="A16:M16"/>
    <mergeCell ref="A26:M26"/>
    <mergeCell ref="A35:H35"/>
    <mergeCell ref="K35:M35"/>
  </mergeCells>
  <dataValidations count="3">
    <dataValidation allowBlank="true" errorStyle="stop" operator="between" showDropDown="false" showErrorMessage="false" showInputMessage="false" sqref="F5:F14 F17:F24 F27:F33" type="list">
      <formula1>"Yes,No,Testing"</formula1>
      <formula2>0</formula2>
    </dataValidation>
    <dataValidation allowBlank="true" errorStyle="stop" operator="between" showDropDown="false" showErrorMessage="false" showInputMessage="false" sqref="G5:G14 G17:G24 G27:G33" type="list">
      <formula1>"1,2,3,4,5"</formula1>
      <formula2>0</formula2>
    </dataValidation>
    <dataValidation allowBlank="true" errorStyle="stop" operator="between" showDropDown="false" showErrorMessage="false" showInputMessage="false" sqref="H5:H14 H17:H24 H27:H33" type="list">
      <formula1>"Low,Medium,High,Critical,Pause"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28" t="s">
        <v>123</v>
      </c>
      <c r="B1" s="28"/>
      <c r="C1" s="28"/>
      <c r="D1" s="28"/>
      <c r="E1" s="28"/>
      <c r="F1" s="28"/>
    </row>
    <row r="2" customFormat="false" ht="18" hidden="false" customHeight="true" outlineLevel="0" collapsed="false">
      <c r="A2" s="29" t="s">
        <v>124</v>
      </c>
      <c r="B2" s="29"/>
      <c r="C2" s="29"/>
      <c r="D2" s="29"/>
      <c r="E2" s="29"/>
      <c r="F2" s="29"/>
    </row>
    <row r="3" customFormat="false" ht="19.5" hidden="false" customHeight="true" outlineLevel="0" collapsed="false">
      <c r="A3" s="6" t="s">
        <v>125</v>
      </c>
      <c r="B3" s="6" t="s">
        <v>126</v>
      </c>
      <c r="C3" s="6" t="s">
        <v>127</v>
      </c>
      <c r="D3" s="6" t="s">
        <v>128</v>
      </c>
      <c r="E3" s="6" t="s">
        <v>129</v>
      </c>
      <c r="F3" s="6" t="s">
        <v>17</v>
      </c>
    </row>
    <row r="4" customFormat="false" ht="21.75" hidden="false" customHeight="true" outlineLevel="0" collapsed="false">
      <c r="A4" s="30" t="s">
        <v>130</v>
      </c>
      <c r="B4" s="31"/>
      <c r="C4" s="31"/>
      <c r="D4" s="31"/>
      <c r="E4" s="31"/>
      <c r="F4" s="31"/>
    </row>
    <row r="5" customFormat="false" ht="21.75" hidden="false" customHeight="true" outlineLevel="0" collapsed="false">
      <c r="A5" s="32" t="s">
        <v>131</v>
      </c>
      <c r="B5" s="33"/>
      <c r="C5" s="33"/>
      <c r="D5" s="33"/>
      <c r="E5" s="33"/>
      <c r="F5" s="33"/>
    </row>
    <row r="6" customFormat="false" ht="21.75" hidden="false" customHeight="true" outlineLevel="0" collapsed="false">
      <c r="A6" s="34" t="s">
        <v>132</v>
      </c>
      <c r="B6" s="35"/>
      <c r="C6" s="35"/>
      <c r="D6" s="35"/>
      <c r="E6" s="35"/>
      <c r="F6" s="35"/>
    </row>
    <row r="7" customFormat="false" ht="21.75" hidden="false" customHeight="true" outlineLevel="0" collapsed="false">
      <c r="A7" s="36" t="s">
        <v>133</v>
      </c>
      <c r="B7" s="37"/>
      <c r="C7" s="37"/>
      <c r="D7" s="37"/>
      <c r="E7" s="37"/>
      <c r="F7" s="37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4:E6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2026-04-13T04:43:53Z</dcterms:created>
  <dc:creator>openpyxl</dc:creator>
  <dc:description/>
  <dc:language>en-US</dc:language>
  <cp:lastModifiedBy/>
  <dcterms:modified xsi:type="dcterms:W3CDTF">2026-04-13T04:43:53Z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