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gment Data" sheetId="2" state="visible" r:id="rId4"/>
    <sheet name="RFM Scoring" sheetId="3" state="visible" r:id="rId5"/>
    <sheet name="Activation Roadmap" sheetId="4" state="visible" r:id="rId6"/>
    <sheet name="Sample Raw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<sst xmlns="http://schemas.openxmlformats.org/spreadsheetml/2006/main" count="249" uniqueCount="182">
  <si>
    <t xml:space="preserve">CUSTOMER SEGMENTATION ANALYSIS  |  RFM MODEL</t>
  </si>
  <si>
    <t xml:space="preserve">[Client Name]  |  [Data Period]  |  [XX,XXX] Customers Analyzed  |  Prepared by: Carlos M.</t>
  </si>
  <si>
    <t xml:space="preserve">SEGMENT COLOR LEGEND</t>
  </si>
  <si>
    <t xml:space="preserve">Champions</t>
  </si>
  <si>
    <t xml:space="preserve">Loyal Customers</t>
  </si>
  <si>
    <t xml:space="preserve">Potential Loyalists</t>
  </si>
  <si>
    <t xml:space="preserve">At Risk</t>
  </si>
  <si>
    <t xml:space="preserve">Cannot Lose Them</t>
  </si>
  <si>
    <t xml:space="preserve">New Customers</t>
  </si>
  <si>
    <t xml:space="preserve">Hibernating</t>
  </si>
  <si>
    <t xml:space="preserve">Lost</t>
  </si>
  <si>
    <t xml:space="preserve">PORTFOLIO SNAPSHOT</t>
  </si>
  <si>
    <t xml:space="preserve">Total Customers</t>
  </si>
  <si>
    <t xml:space="preserve">Active (90d)</t>
  </si>
  <si>
    <t xml:space="preserve">Total Revenue</t>
  </si>
  <si>
    <t xml:space="preserve">Avg LTV</t>
  </si>
  <si>
    <t xml:space="preserve">Avg Order Value</t>
  </si>
  <si>
    <t xml:space="preserve">Champions %</t>
  </si>
  <si>
    <t xml:space="preserve">At Risk %</t>
  </si>
  <si>
    <t xml:space="preserve">Revenue: Top 2 Segs</t>
  </si>
  <si>
    <t xml:space="preserve">SEGMENT SUMMARY</t>
  </si>
  <si>
    <t xml:space="preserve">Segment</t>
  </si>
  <si>
    <t xml:space="preserve">Customers</t>
  </si>
  <si>
    <t xml:space="preserve">% of Base</t>
  </si>
  <si>
    <t xml:space="preserve">Revenue ($)</t>
  </si>
  <si>
    <t xml:space="preserve">% of Revenue</t>
  </si>
  <si>
    <t xml:space="preserve">Avg LTV ($)</t>
  </si>
  <si>
    <t xml:space="preserve">Avg Order ($)</t>
  </si>
  <si>
    <t xml:space="preserve">Churn Risk</t>
  </si>
  <si>
    <t xml:space="preserve">Priority</t>
  </si>
  <si>
    <t xml:space="preserve">Very Low</t>
  </si>
  <si>
    <t xml:space="preserve">Retain</t>
  </si>
  <si>
    <t xml:space="preserve">Low</t>
  </si>
  <si>
    <t xml:space="preserve">Upsell</t>
  </si>
  <si>
    <t xml:space="preserve">Medium</t>
  </si>
  <si>
    <t xml:space="preserve">Nurture</t>
  </si>
  <si>
    <t xml:space="preserve">High</t>
  </si>
  <si>
    <t xml:space="preserve">Win-Back</t>
  </si>
  <si>
    <t xml:space="preserve">Critical</t>
  </si>
  <si>
    <t xml:space="preserve">Urgent</t>
  </si>
  <si>
    <t xml:space="preserve">Onboard</t>
  </si>
  <si>
    <t xml:space="preserve">Very High</t>
  </si>
  <si>
    <t xml:space="preserve">Suppress</t>
  </si>
  <si>
    <t xml:space="preserve">Churned</t>
  </si>
  <si>
    <t xml:space="preserve">TOTAL</t>
  </si>
  <si>
    <t xml:space="preserve">Carlos M.  |  Marketing Analytics Specialist  |  M.S. Marketing Analytics  |  carlosamunoz.com</t>
  </si>
  <si>
    <t xml:space="preserve">SEGMENT DATA  |  Source for Dashboard calculations</t>
  </si>
  <si>
    <t xml:space="preserve">Revenue</t>
  </si>
  <si>
    <t xml:space="preserve">% Revenue</t>
  </si>
  <si>
    <t xml:space="preserve">Avg Order</t>
  </si>
  <si>
    <t xml:space="preserve">RFM Score Range</t>
  </si>
  <si>
    <t xml:space="preserve">4-5, 4-5, 4-5</t>
  </si>
  <si>
    <t xml:space="preserve">2-5, 3-5, 3-5</t>
  </si>
  <si>
    <t xml:space="preserve">3-5, 1-3, 1-3</t>
  </si>
  <si>
    <t xml:space="preserve">2-3, 2-5, 2-5</t>
  </si>
  <si>
    <t xml:space="preserve">1-2, 4-5, 4-5</t>
  </si>
  <si>
    <t xml:space="preserve">4-5, 1, 1-3</t>
  </si>
  <si>
    <t xml:space="preserve">1-2, 1-2, 1-3</t>
  </si>
  <si>
    <t xml:space="preserve">1, 1, 1</t>
  </si>
  <si>
    <t xml:space="preserve">RFM SCORING FRAMEWORK</t>
  </si>
  <si>
    <t xml:space="preserve">Dimension Definitions</t>
  </si>
  <si>
    <t xml:space="preserve">Dimension</t>
  </si>
  <si>
    <t xml:space="preserve">Measures</t>
  </si>
  <si>
    <t xml:space="preserve">Metric</t>
  </si>
  <si>
    <t xml:space="preserve">Score 5 (Best)</t>
  </si>
  <si>
    <t xml:space="preserve">Score 4</t>
  </si>
  <si>
    <t xml:space="preserve">Score 3</t>
  </si>
  <si>
    <t xml:space="preserve">Score 2</t>
  </si>
  <si>
    <t xml:space="preserve">Score 1 (Worst)</t>
  </si>
  <si>
    <t xml:space="preserve">Recency (R)</t>
  </si>
  <si>
    <t xml:space="preserve">How recently did the customer purchase? Recent buyers are more engaged and more likely to respond to outreach.</t>
  </si>
  <si>
    <t xml:space="preserve">Days since last purchase</t>
  </si>
  <si>
    <t xml:space="preserve">0-30 days</t>
  </si>
  <si>
    <t xml:space="preserve">31-60 days</t>
  </si>
  <si>
    <t xml:space="preserve">61-90 days</t>
  </si>
  <si>
    <t xml:space="preserve">91-180 days</t>
  </si>
  <si>
    <t xml:space="preserve">180+ days</t>
  </si>
  <si>
    <t xml:space="preserve">Frequency (F)</t>
  </si>
  <si>
    <t xml:space="preserve">How often does the customer purchase? High-frequency buyers demonstrate habitual loyalty and are cheaper to retain.</t>
  </si>
  <si>
    <t xml:space="preserve">Number of orders</t>
  </si>
  <si>
    <t xml:space="preserve">5+ orders</t>
  </si>
  <si>
    <t xml:space="preserve">4 orders</t>
  </si>
  <si>
    <t xml:space="preserve">3 orders</t>
  </si>
  <si>
    <t xml:space="preserve">2 orders</t>
  </si>
  <si>
    <t xml:space="preserve">1 order</t>
  </si>
  <si>
    <t xml:space="preserve">Monetary (M)</t>
  </si>
  <si>
    <t xml:space="preserve">How much has the customer spent in total? High spenders respond to premium offers and have higher switching costs.</t>
  </si>
  <si>
    <t xml:space="preserve">Total lifetime spend</t>
  </si>
  <si>
    <t xml:space="preserve">$1,000+</t>
  </si>
  <si>
    <t xml:space="preserve">$500-$999</t>
  </si>
  <si>
    <t xml:space="preserve">$250-$499</t>
  </si>
  <si>
    <t xml:space="preserve">$100-$249</t>
  </si>
  <si>
    <t xml:space="preserve">Under $100</t>
  </si>
  <si>
    <t xml:space="preserve">Segment Assignment Matrix</t>
  </si>
  <si>
    <t xml:space="preserve">R Score</t>
  </si>
  <si>
    <t xml:space="preserve">F Score</t>
  </si>
  <si>
    <t xml:space="preserve">M Score</t>
  </si>
  <si>
    <t xml:space="preserve">Combined Label</t>
  </si>
  <si>
    <t xml:space="preserve">4-5</t>
  </si>
  <si>
    <t xml:space="preserve">High Value. High Frequency. Recent.</t>
  </si>
  <si>
    <t xml:space="preserve">2-5</t>
  </si>
  <si>
    <t xml:space="preserve">3-5</t>
  </si>
  <si>
    <t xml:space="preserve">Regular buyers. Good spend. Stable.</t>
  </si>
  <si>
    <t xml:space="preserve">1-3</t>
  </si>
  <si>
    <t xml:space="preserve">Recent. Low frequency. High upside.</t>
  </si>
  <si>
    <t xml:space="preserve">2-3</t>
  </si>
  <si>
    <t xml:space="preserve">Were active. Recency dropping.</t>
  </si>
  <si>
    <t xml:space="preserve">1-2</t>
  </si>
  <si>
    <t xml:space="preserve">High historical value. Gone quiet.</t>
  </si>
  <si>
    <t xml:space="preserve">1</t>
  </si>
  <si>
    <t xml:space="preserve">First purchase. No pattern yet.</t>
  </si>
  <si>
    <t xml:space="preserve">Low on all dimensions.</t>
  </si>
  <si>
    <t xml:space="preserve">Lowest on all dimensions.</t>
  </si>
  <si>
    <t xml:space="preserve">SEGMENT ACTIVATION ROADMAP</t>
  </si>
  <si>
    <t xml:space="preserve">Campaign Type</t>
  </si>
  <si>
    <t xml:space="preserve">Channel</t>
  </si>
  <si>
    <t xml:space="preserve">Message Angle</t>
  </si>
  <si>
    <t xml:space="preserve">Timing</t>
  </si>
  <si>
    <t xml:space="preserve">KPI to Watch</t>
  </si>
  <si>
    <t xml:space="preserve">Personal win-back</t>
  </si>
  <si>
    <t xml:space="preserve">Email + Direct</t>
  </si>
  <si>
    <t xml:space="preserve">We have missed you. Here is what has changed since your last visit.</t>
  </si>
  <si>
    <t xml:space="preserve">Immediate</t>
  </si>
  <si>
    <t xml:space="preserve">Win-back rate</t>
  </si>
  <si>
    <t xml:space="preserve">Re-engagement</t>
  </si>
  <si>
    <t xml:space="preserve">Email + Paid Retargeting</t>
  </si>
  <si>
    <t xml:space="preserve">Time-limited offer tied to last purchase category.</t>
  </si>
  <si>
    <t xml:space="preserve">Within 7 days</t>
  </si>
  <si>
    <t xml:space="preserve">Re-engagement rate</t>
  </si>
  <si>
    <t xml:space="preserve">VIP retention</t>
  </si>
  <si>
    <t xml:space="preserve">Email + SMS</t>
  </si>
  <si>
    <t xml:space="preserve">Exclusive early access. You are one of our most valued customers.</t>
  </si>
  <si>
    <t xml:space="preserve">Monthly</t>
  </si>
  <si>
    <t xml:space="preserve">Retention rate</t>
  </si>
  <si>
    <t xml:space="preserve">Upsell / cross-sell</t>
  </si>
  <si>
    <t xml:space="preserve">Email</t>
  </si>
  <si>
    <t xml:space="preserve">Customers with your purchase history tend to love these additions.</t>
  </si>
  <si>
    <t xml:space="preserve">Bi-weekly</t>
  </si>
  <si>
    <t xml:space="preserve">AOV lift</t>
  </si>
  <si>
    <t xml:space="preserve">Onboarding sequence</t>
  </si>
  <si>
    <t xml:space="preserve">Email (triggered)</t>
  </si>
  <si>
    <t xml:space="preserve">Welcome + second-purchase nudge at day 7.</t>
  </si>
  <si>
    <t xml:space="preserve">Triggered at signup</t>
  </si>
  <si>
    <t xml:space="preserve">2nd purchase rate</t>
  </si>
  <si>
    <t xml:space="preserve">Email + Retargeting</t>
  </si>
  <si>
    <t xml:space="preserve">Social proof, reviews, product education.</t>
  </si>
  <si>
    <t xml:space="preserve">Weekly</t>
  </si>
  <si>
    <t xml:space="preserve">Purchase frequency</t>
  </si>
  <si>
    <t xml:space="preserve">Low-cost broadcast</t>
  </si>
  <si>
    <t xml:space="preserve">Seasonal or clearance only.</t>
  </si>
  <si>
    <t xml:space="preserve">Quarterly</t>
  </si>
  <si>
    <t xml:space="preserve">Response rate</t>
  </si>
  <si>
    <t xml:space="preserve">Exclude from active lists</t>
  </si>
  <si>
    <t xml:space="preserve">No active messaging.</t>
  </si>
  <si>
    <t xml:space="preserve">Annual review only</t>
  </si>
  <si>
    <t xml:space="preserve">N/A</t>
  </si>
  <si>
    <t xml:space="preserve">SAMPLE RAW DATA  |  Replace with actual customer data</t>
  </si>
  <si>
    <t xml:space="preserve">Customer ID</t>
  </si>
  <si>
    <t xml:space="preserve">Last Purchase Date</t>
  </si>
  <si>
    <t xml:space="preserve">Days Since Purchase</t>
  </si>
  <si>
    <t xml:space="preserve">Total Orders</t>
  </si>
  <si>
    <t xml:space="preserve">Total Spend ($)</t>
  </si>
  <si>
    <t xml:space="preserve">CUST-001</t>
  </si>
  <si>
    <t xml:space="preserve">2025-06-18</t>
  </si>
  <si>
    <t xml:space="preserve">CUST-002</t>
  </si>
  <si>
    <t xml:space="preserve">2024-09-23</t>
  </si>
  <si>
    <t xml:space="preserve">CUST-003</t>
  </si>
  <si>
    <t xml:space="preserve">2025-06-25</t>
  </si>
  <si>
    <t xml:space="preserve">CUST-004</t>
  </si>
  <si>
    <t xml:space="preserve">2025-03-27</t>
  </si>
  <si>
    <t xml:space="preserve">CUST-005</t>
  </si>
  <si>
    <t xml:space="preserve">2025-05-16</t>
  </si>
  <si>
    <t xml:space="preserve">CUST-006</t>
  </si>
  <si>
    <t xml:space="preserve">2025-06-22</t>
  </si>
  <si>
    <t xml:space="preserve">CUST-007</t>
  </si>
  <si>
    <t xml:space="preserve">2024-12-27</t>
  </si>
  <si>
    <t xml:space="preserve">CUST-008</t>
  </si>
  <si>
    <t xml:space="preserve">2025-06-27</t>
  </si>
  <si>
    <t xml:space="preserve">CUST-009</t>
  </si>
  <si>
    <t xml:space="preserve">2025-04-29</t>
  </si>
  <si>
    <t xml:space="preserve">CUST-010</t>
  </si>
  <si>
    <t xml:space="preserve">2025-06-08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</si>
</sst>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\$#,##0"/>
    <numFmt numFmtId="168" formatCode="\$#,##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33A5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9A7D0A"/>
      <name val="Arial"/>
      <family val="0"/>
      <charset val="1"/>
    </font>
    <font>
      <sz val="10"/>
      <color rgb="FF1E8449"/>
      <name val="Arial"/>
      <family val="0"/>
      <charset val="1"/>
    </font>
    <font>
      <sz val="10"/>
      <color rgb="FF1A5276"/>
      <name val="Arial"/>
      <family val="0"/>
      <charset val="1"/>
    </font>
    <font>
      <sz val="10"/>
      <color rgb="FF0E6655"/>
      <name val="Arial"/>
      <family val="0"/>
      <charset val="1"/>
    </font>
    <font>
      <sz val="10"/>
      <color rgb="FFE67E22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6C3483"/>
      <name val="Arial"/>
      <family val="0"/>
      <charset val="1"/>
    </font>
    <font>
      <sz val="10"/>
      <color rgb="FFB7770D"/>
      <name val="Arial"/>
      <family val="0"/>
      <charset val="1"/>
    </font>
    <font>
      <sz val="10"/>
      <color rgb="FF7F8C8D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33A52"/>
      <name val="Arial"/>
      <family val="0"/>
      <charset val="1"/>
    </font>
    <font>
      <b val="true"/>
      <sz val="10"/>
      <color rgb="FF9A7D0A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0E6655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B7770D"/>
      <name val="Arial"/>
      <family val="0"/>
      <charset val="1"/>
    </font>
    <font>
      <b val="true"/>
      <sz val="10"/>
      <color rgb="FF7F8C8D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33A52"/>
        <bgColor rgb="FF1A5276"/>
      </patternFill>
    </fill>
    <fill>
      <patternFill patternType="solid">
        <fgColor rgb="FFF5F7F9"/>
        <bgColor rgb="FFF2F3F4"/>
      </patternFill>
    </fill>
    <fill>
      <patternFill patternType="solid">
        <fgColor rgb="FF9A7D0A"/>
        <bgColor rgb="FFB7770D"/>
      </patternFill>
    </fill>
    <fill>
      <patternFill patternType="solid">
        <fgColor rgb="FF1A5276"/>
        <bgColor rgb="FF0E6655"/>
      </patternFill>
    </fill>
    <fill>
      <patternFill patternType="solid">
        <fgColor rgb="FF0E6655"/>
        <bgColor rgb="FF1A5276"/>
      </patternFill>
    </fill>
    <fill>
      <patternFill patternType="solid">
        <fgColor rgb="FFC0392B"/>
        <bgColor rgb="FF993366"/>
      </patternFill>
    </fill>
    <fill>
      <patternFill patternType="solid">
        <fgColor rgb="FF6C3483"/>
        <bgColor rgb="FF993366"/>
      </patternFill>
    </fill>
    <fill>
      <patternFill patternType="solid">
        <fgColor rgb="FF1E8449"/>
        <bgColor rgb="FF008080"/>
      </patternFill>
    </fill>
    <fill>
      <patternFill patternType="solid">
        <fgColor rgb="FFB7770D"/>
        <bgColor rgb="FF9A7D0A"/>
      </patternFill>
    </fill>
    <fill>
      <patternFill patternType="solid">
        <fgColor rgb="FF7F8C8D"/>
        <bgColor rgb="FF969696"/>
      </patternFill>
    </fill>
    <fill>
      <patternFill patternType="solid">
        <fgColor rgb="FFFFFFFF"/>
        <bgColor rgb="FFF5F7F9"/>
      </patternFill>
    </fill>
    <fill>
      <patternFill patternType="solid">
        <fgColor rgb="FFFEF9E7"/>
        <bgColor rgb="FFF5F7F9"/>
      </patternFill>
    </fill>
    <fill>
      <patternFill patternType="solid">
        <fgColor rgb="FFEBF5FB"/>
        <bgColor rgb="FFF2F3F4"/>
      </patternFill>
    </fill>
    <fill>
      <patternFill patternType="solid">
        <fgColor rgb="FFEAFAF1"/>
        <bgColor rgb="FFEBF5FB"/>
      </patternFill>
    </fill>
    <fill>
      <patternFill patternType="solid">
        <fgColor rgb="FFFADBD8"/>
        <bgColor rgb="FFF5EEF8"/>
      </patternFill>
    </fill>
    <fill>
      <patternFill patternType="solid">
        <fgColor rgb="FFF5EEF8"/>
        <bgColor rgb="FFF2F3F4"/>
      </patternFill>
    </fill>
    <fill>
      <patternFill patternType="solid">
        <fgColor rgb="FFD5F5E3"/>
        <bgColor rgb="FFEAFAF1"/>
      </patternFill>
    </fill>
    <fill>
      <patternFill patternType="solid">
        <fgColor rgb="FFF2F3F4"/>
        <bgColor rgb="FFF5F7F9"/>
      </patternFill>
    </fill>
    <fill>
      <patternFill patternType="solid">
        <fgColor rgb="FF555555"/>
        <bgColor rgb="FF6C348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D0A"/>
      <rgbColor rgb="FF800080"/>
      <rgbColor rgb="FF0E6655"/>
      <rgbColor rgb="FFCCCCCC"/>
      <rgbColor rgb="FF7F8C8D"/>
      <rgbColor rgb="FF9999FF"/>
      <rgbColor rgb="FF6C3483"/>
      <rgbColor rgb="FFFEF9E7"/>
      <rgbColor rgb="FFEAFAF1"/>
      <rgbColor rgb="FF660066"/>
      <rgbColor rgb="FFFF8080"/>
      <rgbColor rgb="FF0066CC"/>
      <rgbColor rgb="FFF5EE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2F3F4"/>
      <rgbColor rgb="FFF5F7F9"/>
      <rgbColor rgb="FFFF99CC"/>
      <rgbColor rgb="FFCC99FF"/>
      <rgbColor rgb="FFFADBD8"/>
      <rgbColor rgb="FF3366FF"/>
      <rgbColor rgb="FF33CCCC"/>
      <rgbColor rgb="FF99CC00"/>
      <rgbColor rgb="FFFFCC00"/>
      <rgbColor rgb="FFB7770D"/>
      <rgbColor rgb="FFE67E22"/>
      <rgbColor rgb="FF555555"/>
      <rgbColor rgb="FF969696"/>
      <rgbColor rgb="FF133A52"/>
      <rgbColor rgb="FF1E8449"/>
      <rgbColor rgb="FF003300"/>
      <rgbColor rgb="FF333300"/>
      <rgbColor rgb="FFC0392B"/>
      <rgbColor rgb="FF993366"/>
      <rgbColor rgb="FF1A527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A52"/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9" min="6" style="1" width="12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21.75" hidden="false" customHeight="true" outlineLevel="0" collapsed="false">
      <c r="A5" s="5" t="s">
        <v>3</v>
      </c>
      <c r="B5" s="6" t="s">
        <v>4</v>
      </c>
      <c r="C5" s="7" t="s">
        <v>5</v>
      </c>
      <c r="D5" s="8" t="s">
        <v>6</v>
      </c>
      <c r="E5" s="9" t="s">
        <v>7</v>
      </c>
      <c r="F5" s="10" t="s">
        <v>8</v>
      </c>
      <c r="G5" s="11" t="s">
        <v>9</v>
      </c>
      <c r="H5" s="12" t="s">
        <v>10</v>
      </c>
    </row>
    <row r="7" customFormat="false" ht="24" hidden="false" customHeight="true" outlineLevel="0" collapsed="false">
      <c r="A7" s="4" t="s">
        <v>11</v>
      </c>
      <c r="B7" s="4"/>
      <c r="C7" s="4"/>
      <c r="D7" s="4"/>
      <c r="E7" s="4"/>
      <c r="F7" s="4"/>
      <c r="G7" s="4"/>
      <c r="H7" s="4"/>
      <c r="I7" s="4"/>
    </row>
    <row r="8" customFormat="false" ht="27.75" hidden="false" customHeight="true" outlineLevel="0" collapsed="false">
      <c r="A8" s="13" t="s">
        <v>12</v>
      </c>
      <c r="B8" s="13" t="s">
        <v>13</v>
      </c>
      <c r="C8" s="13" t="s">
        <v>14</v>
      </c>
      <c r="D8" s="13" t="s">
        <v>15</v>
      </c>
      <c r="E8" s="13" t="s">
        <v>16</v>
      </c>
      <c r="F8" s="13" t="s">
        <v>17</v>
      </c>
      <c r="G8" s="13" t="s">
        <v>18</v>
      </c>
      <c r="H8" s="13" t="s">
        <v>19</v>
      </c>
    </row>
    <row r="9" customFormat="false" ht="33.75" hidden="false" customHeight="true" outlineLevel="0" collapsed="false">
      <c r="A9" s="14" t="n">
        <v>16600</v>
      </c>
      <c r="B9" s="15" t="n">
        <f aca="false">IFERROR((B13+C13+F13)/A9,0)</f>
        <v>0.184341849325011</v>
      </c>
      <c r="C9" s="16" t="n">
        <f aca="false">IFERROR(SUM('Segment Data'!D3:D10),0)</f>
        <v>801000</v>
      </c>
      <c r="D9" s="17" t="n">
        <f aca="false">IFERROR(C9/A9,0)</f>
        <v>48.2530120481928</v>
      </c>
      <c r="E9" s="16" t="n">
        <v>218</v>
      </c>
      <c r="F9" s="15" t="n">
        <f aca="false">IFERROR(B13/A9,0)</f>
        <v>0.0746987951807229</v>
      </c>
      <c r="G9" s="18" t="n">
        <f aca="false">IFERROR(E13/A9,0)</f>
        <v>2.14340508099815E-005</v>
      </c>
      <c r="H9" s="15" t="n">
        <f aca="false">IFERROR((D13+D14)/C9,0)</f>
        <v>0.602996254681648</v>
      </c>
    </row>
    <row r="11" customFormat="false" ht="24" hidden="false" customHeight="true" outlineLevel="0" collapsed="false">
      <c r="A11" s="4" t="s">
        <v>20</v>
      </c>
      <c r="B11" s="4"/>
      <c r="C11" s="4"/>
      <c r="D11" s="4"/>
      <c r="E11" s="4"/>
      <c r="F11" s="4"/>
      <c r="G11" s="4"/>
      <c r="H11" s="4"/>
      <c r="I11" s="4"/>
    </row>
    <row r="12" customFormat="false" ht="27.75" hidden="false" customHeight="true" outlineLevel="0" collapsed="false">
      <c r="A12" s="13" t="s">
        <v>21</v>
      </c>
      <c r="B12" s="13" t="s">
        <v>22</v>
      </c>
      <c r="C12" s="13" t="s">
        <v>23</v>
      </c>
      <c r="D12" s="13" t="s">
        <v>24</v>
      </c>
      <c r="E12" s="13" t="s">
        <v>25</v>
      </c>
      <c r="F12" s="13" t="s">
        <v>26</v>
      </c>
      <c r="G12" s="13" t="s">
        <v>27</v>
      </c>
      <c r="H12" s="13" t="s">
        <v>28</v>
      </c>
      <c r="I12" s="13" t="s">
        <v>29</v>
      </c>
    </row>
    <row r="13" customFormat="false" ht="15" hidden="false" customHeight="true" outlineLevel="0" collapsed="false">
      <c r="A13" s="19" t="s">
        <v>3</v>
      </c>
      <c r="B13" s="20" t="n">
        <v>1240</v>
      </c>
      <c r="C13" s="21" t="n">
        <f aca="false">IFERROR(B13/Dashboard!A9,0)</f>
        <v>0.0746987951807229</v>
      </c>
      <c r="D13" s="22" t="n">
        <v>285000</v>
      </c>
      <c r="E13" s="23" t="n">
        <f aca="false">IFERROR(D13/Dashboard!C9,0)</f>
        <v>0.355805243445693</v>
      </c>
      <c r="F13" s="24" t="n">
        <v>1820</v>
      </c>
      <c r="G13" s="25" t="n">
        <v>312</v>
      </c>
      <c r="H13" s="26" t="s">
        <v>30</v>
      </c>
      <c r="I13" s="27" t="s">
        <v>31</v>
      </c>
    </row>
    <row r="14" customFormat="false" ht="15" hidden="false" customHeight="true" outlineLevel="0" collapsed="false">
      <c r="A14" s="28" t="s">
        <v>4</v>
      </c>
      <c r="B14" s="20" t="n">
        <v>2180</v>
      </c>
      <c r="C14" s="29" t="n">
        <f aca="false">IFERROR(B14/Dashboard!A9,0)</f>
        <v>0.131325301204819</v>
      </c>
      <c r="D14" s="30" t="n">
        <v>198000</v>
      </c>
      <c r="E14" s="31" t="n">
        <f aca="false">IFERROR(D14/Dashboard!C9,0)</f>
        <v>0.247191011235955</v>
      </c>
      <c r="F14" s="24" t="n">
        <v>742</v>
      </c>
      <c r="G14" s="32" t="n">
        <v>248</v>
      </c>
      <c r="H14" s="26" t="s">
        <v>32</v>
      </c>
      <c r="I14" s="33" t="s">
        <v>33</v>
      </c>
    </row>
    <row r="15" customFormat="false" ht="15" hidden="false" customHeight="true" outlineLevel="0" collapsed="false">
      <c r="A15" s="34" t="s">
        <v>5</v>
      </c>
      <c r="B15" s="20" t="n">
        <v>3420</v>
      </c>
      <c r="C15" s="35" t="n">
        <f aca="false">IFERROR(B15/Dashboard!A9,0)</f>
        <v>0.206024096385542</v>
      </c>
      <c r="D15" s="36" t="n">
        <v>92000</v>
      </c>
      <c r="E15" s="37" t="n">
        <f aca="false">IFERROR(D15/Dashboard!C9,0)</f>
        <v>0.114856429463171</v>
      </c>
      <c r="F15" s="24" t="n">
        <v>312</v>
      </c>
      <c r="G15" s="38" t="n">
        <v>198</v>
      </c>
      <c r="H15" s="39" t="s">
        <v>34</v>
      </c>
      <c r="I15" s="40" t="s">
        <v>35</v>
      </c>
    </row>
    <row r="16" customFormat="false" ht="15" hidden="false" customHeight="true" outlineLevel="0" collapsed="false">
      <c r="A16" s="41" t="s">
        <v>6</v>
      </c>
      <c r="B16" s="20" t="n">
        <v>1890</v>
      </c>
      <c r="C16" s="42" t="n">
        <f aca="false">IFERROR(B16/Dashboard!A9,0)</f>
        <v>0.113855421686747</v>
      </c>
      <c r="D16" s="43" t="n">
        <v>84000</v>
      </c>
      <c r="E16" s="44" t="n">
        <f aca="false">IFERROR(D16/Dashboard!C9,0)</f>
        <v>0.104868913857678</v>
      </c>
      <c r="F16" s="24" t="n">
        <v>418</v>
      </c>
      <c r="G16" s="45" t="n">
        <v>221</v>
      </c>
      <c r="H16" s="46" t="s">
        <v>36</v>
      </c>
      <c r="I16" s="47" t="s">
        <v>37</v>
      </c>
    </row>
    <row r="17" customFormat="false" ht="15" hidden="false" customHeight="true" outlineLevel="0" collapsed="false">
      <c r="A17" s="48" t="s">
        <v>7</v>
      </c>
      <c r="B17" s="20" t="n">
        <v>312</v>
      </c>
      <c r="C17" s="49" t="n">
        <f aca="false">IFERROR(B17/Dashboard!A9,0)</f>
        <v>0.0187951807228916</v>
      </c>
      <c r="D17" s="50" t="n">
        <v>68000</v>
      </c>
      <c r="E17" s="51" t="n">
        <f aca="false">IFERROR(D17/Dashboard!C9,0)</f>
        <v>0.0848938826466916</v>
      </c>
      <c r="F17" s="24" t="n">
        <v>1840</v>
      </c>
      <c r="G17" s="52" t="n">
        <v>298</v>
      </c>
      <c r="H17" s="53" t="s">
        <v>38</v>
      </c>
      <c r="I17" s="54" t="s">
        <v>39</v>
      </c>
    </row>
    <row r="18" customFormat="false" ht="15" hidden="false" customHeight="true" outlineLevel="0" collapsed="false">
      <c r="A18" s="55" t="s">
        <v>8</v>
      </c>
      <c r="B18" s="20" t="n">
        <v>2640</v>
      </c>
      <c r="C18" s="56" t="n">
        <f aca="false">IFERROR(B18/Dashboard!A9,0)</f>
        <v>0.159036144578313</v>
      </c>
      <c r="D18" s="57" t="n">
        <v>48000</v>
      </c>
      <c r="E18" s="58" t="n">
        <f aca="false">IFERROR(D18/Dashboard!C9,0)</f>
        <v>0.0599250936329588</v>
      </c>
      <c r="F18" s="24" t="n">
        <v>214</v>
      </c>
      <c r="G18" s="59" t="n">
        <v>182</v>
      </c>
      <c r="H18" s="39" t="s">
        <v>34</v>
      </c>
      <c r="I18" s="60" t="s">
        <v>40</v>
      </c>
    </row>
    <row r="19" customFormat="false" ht="15" hidden="false" customHeight="true" outlineLevel="0" collapsed="false">
      <c r="A19" s="61" t="s">
        <v>9</v>
      </c>
      <c r="B19" s="20" t="n">
        <v>3180</v>
      </c>
      <c r="C19" s="21" t="n">
        <f aca="false">IFERROR(B19/Dashboard!A9,0)</f>
        <v>0.191566265060241</v>
      </c>
      <c r="D19" s="62" t="n">
        <v>18000</v>
      </c>
      <c r="E19" s="63" t="n">
        <f aca="false">IFERROR(D19/Dashboard!C9,0)</f>
        <v>0.0224719101123596</v>
      </c>
      <c r="F19" s="24" t="n">
        <v>82</v>
      </c>
      <c r="G19" s="25" t="n">
        <v>64</v>
      </c>
      <c r="H19" s="46" t="s">
        <v>41</v>
      </c>
      <c r="I19" s="27" t="s">
        <v>42</v>
      </c>
    </row>
    <row r="20" customFormat="false" ht="15" hidden="false" customHeight="true" outlineLevel="0" collapsed="false">
      <c r="A20" s="64" t="s">
        <v>10</v>
      </c>
      <c r="B20" s="20" t="n">
        <v>2740</v>
      </c>
      <c r="C20" s="65" t="n">
        <f aca="false">IFERROR(B20/Dashboard!A9,0)</f>
        <v>0.165060240963855</v>
      </c>
      <c r="D20" s="66" t="n">
        <v>8000</v>
      </c>
      <c r="E20" s="67" t="n">
        <f aca="false">IFERROR(D20/Dashboard!C9,0)</f>
        <v>0.00998751560549313</v>
      </c>
      <c r="F20" s="24" t="n">
        <v>42</v>
      </c>
      <c r="G20" s="68" t="n">
        <v>42</v>
      </c>
      <c r="H20" s="69" t="s">
        <v>43</v>
      </c>
      <c r="I20" s="70" t="s">
        <v>42</v>
      </c>
    </row>
    <row r="21" customFormat="false" ht="15" hidden="false" customHeight="true" outlineLevel="0" collapsed="false">
      <c r="A21" s="71" t="s">
        <v>44</v>
      </c>
      <c r="C21" s="72" t="n">
        <f aca="false">SUM(B13:B20)</f>
        <v>17602</v>
      </c>
      <c r="D21" s="73" t="n">
        <f aca="false">SUM(C13:C20)</f>
        <v>1.06036144578313</v>
      </c>
      <c r="E21" s="74" t="n">
        <f aca="false">SUM(D13:D20)</f>
        <v>801000</v>
      </c>
      <c r="F21" s="73" t="n">
        <f aca="false">SUM(E13:E20)</f>
        <v>1</v>
      </c>
      <c r="G21" s="74" t="n">
        <f aca="false">IFERROR(D21/B21,0)</f>
        <v>0</v>
      </c>
      <c r="H21" s="71"/>
    </row>
    <row r="25" customFormat="false" ht="15" hidden="false" customHeight="true" outlineLevel="0" collapsed="false">
      <c r="A25" s="75" t="s">
        <v>45</v>
      </c>
      <c r="B25" s="75"/>
      <c r="C25" s="75"/>
      <c r="D25" s="75"/>
      <c r="E25" s="75"/>
      <c r="F25" s="75"/>
      <c r="G25" s="75"/>
      <c r="H25" s="75"/>
      <c r="I25" s="75"/>
      <c r="J25" s="75"/>
    </row>
  </sheetData>
  <mergeCells count="6">
    <mergeCell ref="A1:I1"/>
    <mergeCell ref="A2:I2"/>
    <mergeCell ref="A4:I4"/>
    <mergeCell ref="A7:I7"/>
    <mergeCell ref="A11:I11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5555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7" min="5" style="1" width="12"/>
    <col collapsed="false" customWidth="true" hidden="false" outlineLevel="0" max="8" min="8" style="1" width="20"/>
  </cols>
  <sheetData>
    <row r="1" customFormat="false" ht="15" hidden="false" customHeight="true" outlineLevel="0" collapsed="false">
      <c r="A1" s="76" t="s">
        <v>46</v>
      </c>
      <c r="B1" s="76"/>
      <c r="C1" s="76"/>
      <c r="D1" s="76"/>
      <c r="E1" s="76"/>
      <c r="F1" s="76"/>
      <c r="G1" s="76"/>
      <c r="H1" s="76"/>
    </row>
    <row r="2" customFormat="false" ht="27.75" hidden="false" customHeight="true" outlineLevel="0" collapsed="false">
      <c r="A2" s="13" t="s">
        <v>21</v>
      </c>
      <c r="B2" s="13" t="s">
        <v>22</v>
      </c>
      <c r="C2" s="13" t="s">
        <v>23</v>
      </c>
      <c r="D2" s="13" t="s">
        <v>47</v>
      </c>
      <c r="E2" s="13" t="s">
        <v>48</v>
      </c>
      <c r="F2" s="13" t="s">
        <v>15</v>
      </c>
      <c r="G2" s="13" t="s">
        <v>49</v>
      </c>
      <c r="H2" s="13" t="s">
        <v>50</v>
      </c>
    </row>
    <row r="3" customFormat="false" ht="15" hidden="false" customHeight="true" outlineLevel="0" collapsed="false">
      <c r="A3" s="19" t="s">
        <v>3</v>
      </c>
      <c r="B3" s="77" t="n">
        <v>1240</v>
      </c>
      <c r="C3" s="21" t="n">
        <f aca="false">B3/SUM(B2:B9)</f>
        <v>0.0834342618759252</v>
      </c>
      <c r="D3" s="78" t="n">
        <v>285000</v>
      </c>
      <c r="E3" s="23" t="n">
        <f aca="false">D3/SUM(D2:D9)</f>
        <v>0.359394703656999</v>
      </c>
      <c r="F3" s="25" t="n">
        <v>1820</v>
      </c>
      <c r="G3" s="25" t="n">
        <v>312</v>
      </c>
      <c r="H3" s="27" t="s">
        <v>51</v>
      </c>
    </row>
    <row r="4" customFormat="false" ht="15" hidden="false" customHeight="true" outlineLevel="0" collapsed="false">
      <c r="A4" s="28" t="s">
        <v>4</v>
      </c>
      <c r="B4" s="20" t="n">
        <v>2180</v>
      </c>
      <c r="C4" s="79" t="n">
        <f aca="false">B4/SUM(B2:B9)</f>
        <v>0.146682815233481</v>
      </c>
      <c r="D4" s="30" t="n">
        <v>198000</v>
      </c>
      <c r="E4" s="80" t="n">
        <f aca="false">D4/SUM(D2:D9)</f>
        <v>0.24968474148802</v>
      </c>
      <c r="F4" s="24" t="n">
        <v>742</v>
      </c>
      <c r="G4" s="24" t="n">
        <v>248</v>
      </c>
      <c r="H4" s="81" t="s">
        <v>52</v>
      </c>
    </row>
    <row r="5" customFormat="false" ht="15" hidden="false" customHeight="true" outlineLevel="0" collapsed="false">
      <c r="A5" s="34" t="s">
        <v>5</v>
      </c>
      <c r="B5" s="82" t="n">
        <v>3420</v>
      </c>
      <c r="C5" s="35" t="n">
        <f aca="false">B5/SUM(B2:B9)</f>
        <v>0.230117077109407</v>
      </c>
      <c r="D5" s="83" t="n">
        <v>92000</v>
      </c>
      <c r="E5" s="37" t="n">
        <f aca="false">D5/SUM(D2:D9)</f>
        <v>0.116015132408575</v>
      </c>
      <c r="F5" s="38" t="n">
        <v>312</v>
      </c>
      <c r="G5" s="38" t="n">
        <v>198</v>
      </c>
      <c r="H5" s="40" t="s">
        <v>53</v>
      </c>
    </row>
    <row r="6" customFormat="false" ht="15" hidden="false" customHeight="true" outlineLevel="0" collapsed="false">
      <c r="A6" s="41" t="s">
        <v>6</v>
      </c>
      <c r="B6" s="20" t="n">
        <v>1890</v>
      </c>
      <c r="C6" s="79" t="n">
        <f aca="false">B6/SUM(B2:B9)</f>
        <v>0.127169963665725</v>
      </c>
      <c r="D6" s="43" t="n">
        <v>84000</v>
      </c>
      <c r="E6" s="84" t="n">
        <f aca="false">D6/SUM(D2:D9)</f>
        <v>0.105926860025221</v>
      </c>
      <c r="F6" s="24" t="n">
        <v>418</v>
      </c>
      <c r="G6" s="24" t="n">
        <v>221</v>
      </c>
      <c r="H6" s="81" t="s">
        <v>54</v>
      </c>
    </row>
    <row r="7" customFormat="false" ht="15" hidden="false" customHeight="true" outlineLevel="0" collapsed="false">
      <c r="A7" s="48" t="s">
        <v>7</v>
      </c>
      <c r="B7" s="85" t="n">
        <v>312</v>
      </c>
      <c r="C7" s="49" t="n">
        <f aca="false">B7/SUM(B2:B9)</f>
        <v>0.0209931368591038</v>
      </c>
      <c r="D7" s="86" t="n">
        <v>68000</v>
      </c>
      <c r="E7" s="51" t="n">
        <f aca="false">D7/SUM(D2:D9)</f>
        <v>0.085750315258512</v>
      </c>
      <c r="F7" s="52" t="n">
        <v>1840</v>
      </c>
      <c r="G7" s="52" t="n">
        <v>298</v>
      </c>
      <c r="H7" s="54" t="s">
        <v>55</v>
      </c>
    </row>
    <row r="8" customFormat="false" ht="15" hidden="false" customHeight="true" outlineLevel="0" collapsed="false">
      <c r="A8" s="55" t="s">
        <v>8</v>
      </c>
      <c r="B8" s="20" t="n">
        <v>2640</v>
      </c>
      <c r="C8" s="79" t="n">
        <f aca="false">B8/SUM(B2:B9)</f>
        <v>0.177634234961647</v>
      </c>
      <c r="D8" s="57" t="n">
        <v>48000</v>
      </c>
      <c r="E8" s="87" t="n">
        <f aca="false">D8/SUM(D2:D9)</f>
        <v>0.0605296343001261</v>
      </c>
      <c r="F8" s="24" t="n">
        <v>214</v>
      </c>
      <c r="G8" s="24" t="n">
        <v>182</v>
      </c>
      <c r="H8" s="81" t="s">
        <v>56</v>
      </c>
    </row>
    <row r="9" customFormat="false" ht="15" hidden="false" customHeight="true" outlineLevel="0" collapsed="false">
      <c r="A9" s="61" t="s">
        <v>9</v>
      </c>
      <c r="B9" s="77" t="n">
        <v>3180</v>
      </c>
      <c r="C9" s="21" t="n">
        <f aca="false">B9/SUM(B2:B9)</f>
        <v>0.213968510294711</v>
      </c>
      <c r="D9" s="88" t="n">
        <v>18000</v>
      </c>
      <c r="E9" s="63" t="n">
        <f aca="false">D9/SUM(D2:D9)</f>
        <v>0.0226986128625473</v>
      </c>
      <c r="F9" s="25" t="n">
        <v>82</v>
      </c>
      <c r="G9" s="25" t="n">
        <v>64</v>
      </c>
      <c r="H9" s="27" t="s">
        <v>57</v>
      </c>
    </row>
    <row r="10" customFormat="false" ht="15" hidden="false" customHeight="true" outlineLevel="0" collapsed="false">
      <c r="A10" s="64" t="s">
        <v>10</v>
      </c>
      <c r="B10" s="20" t="n">
        <v>2740</v>
      </c>
      <c r="C10" s="79" t="n">
        <f aca="false">B10/SUM(B2:B9)</f>
        <v>0.18436280446777</v>
      </c>
      <c r="D10" s="66" t="n">
        <v>8000</v>
      </c>
      <c r="E10" s="89" t="n">
        <f aca="false">D10/SUM(D2:D9)</f>
        <v>0.0100882723833544</v>
      </c>
      <c r="F10" s="24" t="n">
        <v>42</v>
      </c>
      <c r="G10" s="24" t="n">
        <v>42</v>
      </c>
      <c r="H10" s="81" t="s">
        <v>58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655"/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4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8"/>
  </cols>
  <sheetData>
    <row r="1" customFormat="false" ht="17.25" hidden="false" customHeight="true" outlineLevel="0" collapsed="false">
      <c r="A1" s="90" t="s">
        <v>59</v>
      </c>
      <c r="B1" s="90"/>
      <c r="C1" s="90"/>
      <c r="D1" s="90"/>
      <c r="E1" s="90"/>
      <c r="F1" s="90"/>
      <c r="G1" s="90"/>
      <c r="H1" s="90"/>
    </row>
    <row r="2" customFormat="false" ht="24" hidden="false" customHeight="true" outlineLevel="0" collapsed="false">
      <c r="A2" s="4" t="s">
        <v>60</v>
      </c>
      <c r="B2" s="4"/>
      <c r="C2" s="4"/>
      <c r="D2" s="4"/>
      <c r="E2" s="4"/>
      <c r="F2" s="4"/>
      <c r="G2" s="4"/>
      <c r="H2" s="4"/>
    </row>
    <row r="3" customFormat="false" ht="27.75" hidden="false" customHeight="true" outlineLevel="0" collapsed="false">
      <c r="A3" s="13" t="s">
        <v>61</v>
      </c>
      <c r="B3" s="13" t="s">
        <v>62</v>
      </c>
      <c r="C3" s="13" t="s">
        <v>63</v>
      </c>
      <c r="D3" s="13" t="s">
        <v>64</v>
      </c>
      <c r="E3" s="13" t="s">
        <v>65</v>
      </c>
      <c r="F3" s="13" t="s">
        <v>66</v>
      </c>
      <c r="G3" s="13" t="s">
        <v>67</v>
      </c>
      <c r="H3" s="13" t="s">
        <v>68</v>
      </c>
    </row>
    <row r="4" customFormat="false" ht="102" hidden="false" customHeight="true" outlineLevel="0" collapsed="false">
      <c r="A4" s="91" t="s">
        <v>69</v>
      </c>
      <c r="B4" s="92" t="s">
        <v>70</v>
      </c>
      <c r="C4" s="81" t="s">
        <v>71</v>
      </c>
      <c r="D4" s="26" t="s">
        <v>72</v>
      </c>
      <c r="E4" s="81" t="s">
        <v>73</v>
      </c>
      <c r="F4" s="81" t="s">
        <v>74</v>
      </c>
      <c r="G4" s="81" t="s">
        <v>75</v>
      </c>
      <c r="H4" s="46" t="s">
        <v>76</v>
      </c>
    </row>
    <row r="5" customFormat="false" ht="102" hidden="false" customHeight="true" outlineLevel="0" collapsed="false">
      <c r="A5" s="93" t="s">
        <v>77</v>
      </c>
      <c r="B5" s="94" t="s">
        <v>78</v>
      </c>
      <c r="C5" s="95" t="s">
        <v>79</v>
      </c>
      <c r="D5" s="96" t="s">
        <v>80</v>
      </c>
      <c r="E5" s="95" t="s">
        <v>81</v>
      </c>
      <c r="F5" s="95" t="s">
        <v>82</v>
      </c>
      <c r="G5" s="95" t="s">
        <v>83</v>
      </c>
      <c r="H5" s="97" t="s">
        <v>84</v>
      </c>
    </row>
    <row r="6" customFormat="false" ht="90.75" hidden="false" customHeight="true" outlineLevel="0" collapsed="false">
      <c r="A6" s="91" t="s">
        <v>85</v>
      </c>
      <c r="B6" s="92" t="s">
        <v>86</v>
      </c>
      <c r="C6" s="81" t="s">
        <v>87</v>
      </c>
      <c r="D6" s="26" t="s">
        <v>88</v>
      </c>
      <c r="E6" s="81" t="s">
        <v>89</v>
      </c>
      <c r="F6" s="81" t="s">
        <v>90</v>
      </c>
      <c r="G6" s="81" t="s">
        <v>91</v>
      </c>
      <c r="H6" s="46" t="s">
        <v>92</v>
      </c>
    </row>
    <row r="9" customFormat="false" ht="24" hidden="false" customHeight="true" outlineLevel="0" collapsed="false">
      <c r="A9" s="4" t="s">
        <v>93</v>
      </c>
      <c r="B9" s="4"/>
      <c r="C9" s="4"/>
      <c r="D9" s="4"/>
      <c r="E9" s="4"/>
    </row>
    <row r="10" customFormat="false" ht="27.75" hidden="false" customHeight="true" outlineLevel="0" collapsed="false">
      <c r="A10" s="13" t="s">
        <v>21</v>
      </c>
      <c r="B10" s="13" t="s">
        <v>94</v>
      </c>
      <c r="C10" s="13" t="s">
        <v>95</v>
      </c>
      <c r="D10" s="13" t="s">
        <v>96</v>
      </c>
      <c r="E10" s="13" t="s">
        <v>97</v>
      </c>
    </row>
    <row r="11" customFormat="false" ht="23.25" hidden="false" customHeight="true" outlineLevel="0" collapsed="false">
      <c r="A11" s="19" t="s">
        <v>3</v>
      </c>
      <c r="B11" s="27" t="s">
        <v>98</v>
      </c>
      <c r="C11" s="27" t="s">
        <v>98</v>
      </c>
      <c r="D11" s="27" t="s">
        <v>98</v>
      </c>
      <c r="E11" s="98" t="s">
        <v>99</v>
      </c>
    </row>
    <row r="12" customFormat="false" ht="23.25" hidden="false" customHeight="true" outlineLevel="0" collapsed="false">
      <c r="A12" s="28" t="s">
        <v>4</v>
      </c>
      <c r="B12" s="81" t="s">
        <v>100</v>
      </c>
      <c r="C12" s="81" t="s">
        <v>101</v>
      </c>
      <c r="D12" s="81" t="s">
        <v>101</v>
      </c>
      <c r="E12" s="99" t="s">
        <v>102</v>
      </c>
    </row>
    <row r="13" customFormat="false" ht="23.25" hidden="false" customHeight="true" outlineLevel="0" collapsed="false">
      <c r="A13" s="34" t="s">
        <v>5</v>
      </c>
      <c r="B13" s="40" t="s">
        <v>101</v>
      </c>
      <c r="C13" s="40" t="s">
        <v>103</v>
      </c>
      <c r="D13" s="40" t="s">
        <v>103</v>
      </c>
      <c r="E13" s="100" t="s">
        <v>104</v>
      </c>
    </row>
    <row r="14" customFormat="false" ht="15" hidden="false" customHeight="true" outlineLevel="0" collapsed="false">
      <c r="A14" s="41" t="s">
        <v>6</v>
      </c>
      <c r="B14" s="81" t="s">
        <v>105</v>
      </c>
      <c r="C14" s="81" t="s">
        <v>100</v>
      </c>
      <c r="D14" s="81" t="s">
        <v>100</v>
      </c>
      <c r="E14" s="101" t="s">
        <v>106</v>
      </c>
    </row>
    <row r="15" customFormat="false" ht="23.25" hidden="false" customHeight="true" outlineLevel="0" collapsed="false">
      <c r="A15" s="48" t="s">
        <v>7</v>
      </c>
      <c r="B15" s="54" t="s">
        <v>107</v>
      </c>
      <c r="C15" s="54" t="s">
        <v>98</v>
      </c>
      <c r="D15" s="54" t="s">
        <v>98</v>
      </c>
      <c r="E15" s="102" t="s">
        <v>108</v>
      </c>
    </row>
    <row r="16" customFormat="false" ht="15" hidden="false" customHeight="true" outlineLevel="0" collapsed="false">
      <c r="A16" s="55" t="s">
        <v>8</v>
      </c>
      <c r="B16" s="81" t="s">
        <v>98</v>
      </c>
      <c r="C16" s="81" t="s">
        <v>109</v>
      </c>
      <c r="D16" s="81" t="s">
        <v>103</v>
      </c>
      <c r="E16" s="103" t="s">
        <v>110</v>
      </c>
    </row>
    <row r="17" customFormat="false" ht="15" hidden="false" customHeight="true" outlineLevel="0" collapsed="false">
      <c r="A17" s="61" t="s">
        <v>9</v>
      </c>
      <c r="B17" s="27" t="s">
        <v>107</v>
      </c>
      <c r="C17" s="27" t="s">
        <v>107</v>
      </c>
      <c r="D17" s="27" t="s">
        <v>103</v>
      </c>
      <c r="E17" s="104" t="s">
        <v>111</v>
      </c>
    </row>
    <row r="18" customFormat="false" ht="15" hidden="false" customHeight="true" outlineLevel="0" collapsed="false">
      <c r="A18" s="64" t="s">
        <v>10</v>
      </c>
      <c r="B18" s="81" t="s">
        <v>109</v>
      </c>
      <c r="C18" s="81" t="s">
        <v>109</v>
      </c>
      <c r="D18" s="81" t="s">
        <v>109</v>
      </c>
      <c r="E18" s="105" t="s">
        <v>112</v>
      </c>
    </row>
    <row r="22" customFormat="false" ht="15" hidden="false" customHeight="true" outlineLevel="0" collapsed="false">
      <c r="A22" s="75" t="s">
        <v>45</v>
      </c>
      <c r="B22" s="75"/>
      <c r="C22" s="75"/>
      <c r="D22" s="75"/>
      <c r="E22" s="75"/>
      <c r="F22" s="75"/>
      <c r="G22" s="75"/>
      <c r="H22" s="75"/>
      <c r="I22" s="75"/>
      <c r="J22" s="75"/>
    </row>
  </sheetData>
  <mergeCells count="4">
    <mergeCell ref="A1:H1"/>
    <mergeCell ref="A2:H2"/>
    <mergeCell ref="A9:E9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0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31.5" hidden="false" customHeight="true" outlineLevel="0" collapsed="false">
      <c r="A1" s="90" t="s">
        <v>113</v>
      </c>
      <c r="B1" s="90"/>
      <c r="C1" s="90"/>
      <c r="D1" s="90"/>
      <c r="E1" s="90"/>
      <c r="F1" s="90"/>
      <c r="G1" s="90"/>
      <c r="H1" s="90"/>
    </row>
    <row r="3" customFormat="false" ht="27.75" hidden="false" customHeight="true" outlineLevel="0" collapsed="false">
      <c r="A3" s="13" t="s">
        <v>29</v>
      </c>
      <c r="B3" s="13" t="s">
        <v>21</v>
      </c>
      <c r="C3" s="13" t="s">
        <v>114</v>
      </c>
      <c r="D3" s="13" t="s">
        <v>115</v>
      </c>
      <c r="E3" s="13" t="s">
        <v>116</v>
      </c>
      <c r="F3" s="13" t="s">
        <v>117</v>
      </c>
      <c r="G3" s="13" t="s">
        <v>118</v>
      </c>
    </row>
    <row r="4" customFormat="false" ht="27.75" hidden="false" customHeight="true" outlineLevel="0" collapsed="false">
      <c r="A4" s="106" t="n">
        <v>1</v>
      </c>
      <c r="B4" s="48" t="s">
        <v>7</v>
      </c>
      <c r="C4" s="107" t="s">
        <v>119</v>
      </c>
      <c r="D4" s="54" t="s">
        <v>120</v>
      </c>
      <c r="E4" s="107" t="s">
        <v>121</v>
      </c>
      <c r="F4" s="54" t="s">
        <v>122</v>
      </c>
      <c r="G4" s="107" t="s">
        <v>123</v>
      </c>
    </row>
    <row r="5" customFormat="false" ht="27.75" hidden="false" customHeight="true" outlineLevel="0" collapsed="false">
      <c r="A5" s="108" t="n">
        <v>2</v>
      </c>
      <c r="B5" s="41" t="s">
        <v>6</v>
      </c>
      <c r="C5" s="92" t="s">
        <v>124</v>
      </c>
      <c r="D5" s="81" t="s">
        <v>125</v>
      </c>
      <c r="E5" s="92" t="s">
        <v>126</v>
      </c>
      <c r="F5" s="81" t="s">
        <v>127</v>
      </c>
      <c r="G5" s="92" t="s">
        <v>128</v>
      </c>
    </row>
    <row r="6" customFormat="false" ht="27.75" hidden="false" customHeight="true" outlineLevel="0" collapsed="false">
      <c r="A6" s="109" t="n">
        <v>3</v>
      </c>
      <c r="B6" s="19" t="s">
        <v>3</v>
      </c>
      <c r="C6" s="110" t="s">
        <v>129</v>
      </c>
      <c r="D6" s="27" t="s">
        <v>130</v>
      </c>
      <c r="E6" s="110" t="s">
        <v>131</v>
      </c>
      <c r="F6" s="27" t="s">
        <v>132</v>
      </c>
      <c r="G6" s="110" t="s">
        <v>133</v>
      </c>
    </row>
    <row r="7" customFormat="false" ht="27.75" hidden="false" customHeight="true" outlineLevel="0" collapsed="false">
      <c r="A7" s="111" t="n">
        <v>4</v>
      </c>
      <c r="B7" s="28" t="s">
        <v>4</v>
      </c>
      <c r="C7" s="92" t="s">
        <v>134</v>
      </c>
      <c r="D7" s="81" t="s">
        <v>135</v>
      </c>
      <c r="E7" s="92" t="s">
        <v>136</v>
      </c>
      <c r="F7" s="81" t="s">
        <v>137</v>
      </c>
      <c r="G7" s="92" t="s">
        <v>138</v>
      </c>
    </row>
    <row r="8" customFormat="false" ht="27.75" hidden="false" customHeight="true" outlineLevel="0" collapsed="false">
      <c r="A8" s="112" t="n">
        <v>5</v>
      </c>
      <c r="B8" s="55" t="s">
        <v>8</v>
      </c>
      <c r="C8" s="113" t="s">
        <v>139</v>
      </c>
      <c r="D8" s="60" t="s">
        <v>140</v>
      </c>
      <c r="E8" s="113" t="s">
        <v>141</v>
      </c>
      <c r="F8" s="60" t="s">
        <v>142</v>
      </c>
      <c r="G8" s="113" t="s">
        <v>143</v>
      </c>
    </row>
    <row r="9" customFormat="false" ht="27.75" hidden="false" customHeight="true" outlineLevel="0" collapsed="false">
      <c r="A9" s="114" t="n">
        <v>6</v>
      </c>
      <c r="B9" s="34" t="s">
        <v>5</v>
      </c>
      <c r="C9" s="92" t="s">
        <v>35</v>
      </c>
      <c r="D9" s="81" t="s">
        <v>144</v>
      </c>
      <c r="E9" s="92" t="s">
        <v>145</v>
      </c>
      <c r="F9" s="81" t="s">
        <v>146</v>
      </c>
      <c r="G9" s="92" t="s">
        <v>147</v>
      </c>
    </row>
    <row r="10" customFormat="false" ht="27.75" hidden="false" customHeight="true" outlineLevel="0" collapsed="false">
      <c r="A10" s="115" t="n">
        <v>7</v>
      </c>
      <c r="B10" s="61" t="s">
        <v>9</v>
      </c>
      <c r="C10" s="110" t="s">
        <v>148</v>
      </c>
      <c r="D10" s="27" t="s">
        <v>135</v>
      </c>
      <c r="E10" s="110" t="s">
        <v>149</v>
      </c>
      <c r="F10" s="27" t="s">
        <v>150</v>
      </c>
      <c r="G10" s="110" t="s">
        <v>151</v>
      </c>
    </row>
    <row r="11" customFormat="false" ht="27.75" hidden="false" customHeight="true" outlineLevel="0" collapsed="false">
      <c r="A11" s="116" t="n">
        <v>8</v>
      </c>
      <c r="B11" s="64" t="s">
        <v>10</v>
      </c>
      <c r="C11" s="92" t="s">
        <v>42</v>
      </c>
      <c r="D11" s="81" t="s">
        <v>152</v>
      </c>
      <c r="E11" s="92" t="s">
        <v>153</v>
      </c>
      <c r="F11" s="81" t="s">
        <v>154</v>
      </c>
      <c r="G11" s="92" t="s">
        <v>155</v>
      </c>
    </row>
    <row r="16" customFormat="false" ht="15" hidden="false" customHeight="true" outlineLevel="0" collapsed="false">
      <c r="A16" s="75" t="s">
        <v>45</v>
      </c>
      <c r="B16" s="75"/>
      <c r="C16" s="75"/>
      <c r="D16" s="75"/>
      <c r="E16" s="75"/>
      <c r="F16" s="75"/>
      <c r="G16" s="75"/>
      <c r="H16" s="75"/>
      <c r="I16" s="75"/>
      <c r="J16" s="75"/>
    </row>
  </sheetData>
  <mergeCells count="2">
    <mergeCell ref="A1:H1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5555"/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8" min="6" style="1" width="10"/>
  </cols>
  <sheetData>
    <row r="1" customFormat="false" ht="15" hidden="false" customHeight="true" outlineLevel="0" collapsed="false">
      <c r="A1" s="117" t="s">
        <v>156</v>
      </c>
      <c r="B1" s="117"/>
      <c r="C1" s="117"/>
      <c r="D1" s="117"/>
      <c r="E1" s="117"/>
      <c r="F1" s="117"/>
      <c r="G1" s="117"/>
      <c r="H1" s="117"/>
    </row>
    <row r="2" customFormat="false" ht="27.75" hidden="false" customHeight="true" outlineLevel="0" collapsed="false">
      <c r="A2" s="13" t="s">
        <v>157</v>
      </c>
      <c r="B2" s="13" t="s">
        <v>158</v>
      </c>
      <c r="C2" s="13" t="s">
        <v>159</v>
      </c>
      <c r="D2" s="13" t="s">
        <v>160</v>
      </c>
      <c r="E2" s="13" t="s">
        <v>161</v>
      </c>
      <c r="F2" s="13" t="s">
        <v>94</v>
      </c>
      <c r="G2" s="13" t="s">
        <v>95</v>
      </c>
      <c r="H2" s="13" t="s">
        <v>96</v>
      </c>
    </row>
    <row r="3" customFormat="false" ht="15" hidden="false" customHeight="true" outlineLevel="0" collapsed="false">
      <c r="A3" s="92" t="s">
        <v>162</v>
      </c>
      <c r="B3" s="81" t="s">
        <v>163</v>
      </c>
      <c r="C3" s="20" t="n">
        <v>12</v>
      </c>
      <c r="D3" s="20" t="n">
        <v>8</v>
      </c>
      <c r="E3" s="24" t="n">
        <v>1850</v>
      </c>
      <c r="F3" s="26" t="n">
        <v>5</v>
      </c>
      <c r="G3" s="26" t="n">
        <v>5</v>
      </c>
      <c r="H3" s="26" t="n">
        <v>5</v>
      </c>
    </row>
    <row r="4" customFormat="false" ht="15" hidden="false" customHeight="true" outlineLevel="0" collapsed="false">
      <c r="A4" s="94" t="s">
        <v>164</v>
      </c>
      <c r="B4" s="95" t="s">
        <v>165</v>
      </c>
      <c r="C4" s="118" t="n">
        <v>280</v>
      </c>
      <c r="D4" s="118" t="n">
        <v>1</v>
      </c>
      <c r="E4" s="119" t="n">
        <v>42</v>
      </c>
      <c r="F4" s="97" t="n">
        <v>1</v>
      </c>
      <c r="G4" s="97" t="n">
        <v>1</v>
      </c>
      <c r="H4" s="97" t="n">
        <v>1</v>
      </c>
    </row>
    <row r="5" customFormat="false" ht="15" hidden="false" customHeight="true" outlineLevel="0" collapsed="false">
      <c r="A5" s="92" t="s">
        <v>166</v>
      </c>
      <c r="B5" s="81" t="s">
        <v>167</v>
      </c>
      <c r="C5" s="20" t="n">
        <v>5</v>
      </c>
      <c r="D5" s="20" t="n">
        <v>6</v>
      </c>
      <c r="E5" s="24" t="n">
        <v>1200</v>
      </c>
      <c r="F5" s="26" t="n">
        <v>5</v>
      </c>
      <c r="G5" s="26" t="n">
        <v>5</v>
      </c>
      <c r="H5" s="26" t="n">
        <v>5</v>
      </c>
    </row>
    <row r="6" customFormat="false" ht="15" hidden="false" customHeight="true" outlineLevel="0" collapsed="false">
      <c r="A6" s="94" t="s">
        <v>168</v>
      </c>
      <c r="B6" s="95" t="s">
        <v>169</v>
      </c>
      <c r="C6" s="118" t="n">
        <v>95</v>
      </c>
      <c r="D6" s="118" t="n">
        <v>3</v>
      </c>
      <c r="E6" s="119" t="n">
        <v>380</v>
      </c>
      <c r="F6" s="95" t="n">
        <v>2</v>
      </c>
      <c r="G6" s="95" t="n">
        <v>3</v>
      </c>
      <c r="H6" s="95" t="n">
        <v>3</v>
      </c>
    </row>
    <row r="7" customFormat="false" ht="15" hidden="false" customHeight="true" outlineLevel="0" collapsed="false">
      <c r="A7" s="92" t="s">
        <v>170</v>
      </c>
      <c r="B7" s="81" t="s">
        <v>171</v>
      </c>
      <c r="C7" s="20" t="n">
        <v>45</v>
      </c>
      <c r="D7" s="20" t="n">
        <v>5</v>
      </c>
      <c r="E7" s="24" t="n">
        <v>720</v>
      </c>
      <c r="F7" s="81" t="n">
        <v>4</v>
      </c>
      <c r="G7" s="26" t="n">
        <v>5</v>
      </c>
      <c r="H7" s="81" t="n">
        <v>4</v>
      </c>
    </row>
    <row r="8" customFormat="false" ht="15" hidden="false" customHeight="true" outlineLevel="0" collapsed="false">
      <c r="A8" s="94" t="s">
        <v>172</v>
      </c>
      <c r="B8" s="95" t="s">
        <v>173</v>
      </c>
      <c r="C8" s="118" t="n">
        <v>8</v>
      </c>
      <c r="D8" s="118" t="n">
        <v>4</v>
      </c>
      <c r="E8" s="119" t="n">
        <v>950</v>
      </c>
      <c r="F8" s="96" t="n">
        <v>5</v>
      </c>
      <c r="G8" s="95" t="n">
        <v>4</v>
      </c>
      <c r="H8" s="95" t="n">
        <v>4</v>
      </c>
    </row>
    <row r="9" customFormat="false" ht="15" hidden="false" customHeight="true" outlineLevel="0" collapsed="false">
      <c r="A9" s="92" t="s">
        <v>174</v>
      </c>
      <c r="B9" s="81" t="s">
        <v>175</v>
      </c>
      <c r="C9" s="20" t="n">
        <v>185</v>
      </c>
      <c r="D9" s="20" t="n">
        <v>7</v>
      </c>
      <c r="E9" s="24" t="n">
        <v>1640</v>
      </c>
      <c r="F9" s="46" t="n">
        <v>1</v>
      </c>
      <c r="G9" s="26" t="n">
        <v>5</v>
      </c>
      <c r="H9" s="26" t="n">
        <v>5</v>
      </c>
    </row>
    <row r="10" customFormat="false" ht="15" hidden="false" customHeight="true" outlineLevel="0" collapsed="false">
      <c r="A10" s="94" t="s">
        <v>176</v>
      </c>
      <c r="B10" s="95" t="s">
        <v>177</v>
      </c>
      <c r="C10" s="118" t="n">
        <v>3</v>
      </c>
      <c r="D10" s="118" t="n">
        <v>1</v>
      </c>
      <c r="E10" s="119" t="n">
        <v>95</v>
      </c>
      <c r="F10" s="96" t="n">
        <v>5</v>
      </c>
      <c r="G10" s="97" t="n">
        <v>1</v>
      </c>
      <c r="H10" s="97" t="n">
        <v>1</v>
      </c>
    </row>
    <row r="11" customFormat="false" ht="15" hidden="false" customHeight="true" outlineLevel="0" collapsed="false">
      <c r="A11" s="92" t="s">
        <v>178</v>
      </c>
      <c r="B11" s="81" t="s">
        <v>179</v>
      </c>
      <c r="C11" s="20" t="n">
        <v>62</v>
      </c>
      <c r="D11" s="20" t="n">
        <v>2</v>
      </c>
      <c r="E11" s="24" t="n">
        <v>210</v>
      </c>
      <c r="F11" s="81" t="n">
        <v>3</v>
      </c>
      <c r="G11" s="81" t="n">
        <v>2</v>
      </c>
      <c r="H11" s="81" t="n">
        <v>2</v>
      </c>
    </row>
    <row r="12" customFormat="false" ht="15" hidden="false" customHeight="true" outlineLevel="0" collapsed="false">
      <c r="A12" s="94" t="s">
        <v>180</v>
      </c>
      <c r="B12" s="95" t="s">
        <v>181</v>
      </c>
      <c r="C12" s="118" t="n">
        <v>22</v>
      </c>
      <c r="D12" s="118" t="n">
        <v>9</v>
      </c>
      <c r="E12" s="119" t="n">
        <v>2100</v>
      </c>
      <c r="F12" s="96" t="n">
        <v>5</v>
      </c>
      <c r="G12" s="96" t="n">
        <v>5</v>
      </c>
      <c r="H12" s="96" t="n">
        <v>5</v>
      </c>
    </row>
    <row r="16" customFormat="false" ht="15" hidden="false" customHeight="true" outlineLevel="0" collapsed="false">
      <c r="A16" s="75" t="s">
        <v>45</v>
      </c>
      <c r="B16" s="75"/>
      <c r="C16" s="75"/>
      <c r="D16" s="75"/>
      <c r="E16" s="75"/>
      <c r="F16" s="75"/>
      <c r="G16" s="75"/>
      <c r="H16" s="75"/>
      <c r="I16" s="75"/>
      <c r="J16" s="75"/>
    </row>
  </sheetData>
  <mergeCells count="2">
    <mergeCell ref="A1:H1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2026-06-28T22:43:31Z</dcterms:created>
  <dc:creator>openpyxl</dc:creator>
  <dc:description/>
  <dc:language>en-US</dc:language>
  <cp:lastModifiedBy/>
  <dcterms:modified xsi:type="dcterms:W3CDTF">2026-06-28T22:44:16Z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