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<sst xmlns="http://schemas.openxmlformats.org/spreadsheetml/2006/main" count="123" uniqueCount="42">
  <si>
    <t xml:space="preserve">TIMELINE &amp; DELIVERABLES TRACKER  |  NorCal SBDC</t>
  </si>
  <si>
    <t xml:space="preserve">Client / Project:</t>
  </si>
  <si>
    <t xml:space="preserve">Advisor:</t>
  </si>
  <si>
    <t xml:space="preserve">Quarter / Period:</t>
  </si>
  <si>
    <t xml:space="preserve">#</t>
  </si>
  <si>
    <t xml:space="preserve">Task / Action Item</t>
  </si>
  <si>
    <t xml:space="preserve">Owner</t>
  </si>
  <si>
    <t xml:space="preserve">Status</t>
  </si>
  <si>
    <t xml:space="preserve">Priority</t>
  </si>
  <si>
    <t xml:space="preserve">Start Date</t>
  </si>
  <si>
    <t xml:space="preserve">Due Date</t>
  </si>
  <si>
    <t xml:space="preserve">Milestone</t>
  </si>
  <si>
    <t xml:space="preserve">Deliverable</t>
  </si>
  <si>
    <t xml:space="preserve">Completion %</t>
  </si>
  <si>
    <t xml:space="preserve">Verified By</t>
  </si>
  <si>
    <t xml:space="preserve">Notes</t>
  </si>
  <si>
    <t xml:space="preserve">  Phase 1: Discovery &amp; Planning</t>
  </si>
  <si>
    <t xml:space="preserve">Not Started</t>
  </si>
  <si>
    <t xml:space="preserve">Medium</t>
  </si>
  <si>
    <t xml:space="preserve">No</t>
  </si>
  <si>
    <t xml:space="preserve">0%</t>
  </si>
  <si>
    <t xml:space="preserve">  Phase 2: Strategy Development</t>
  </si>
  <si>
    <t xml:space="preserve">  Phase 3: Execution</t>
  </si>
  <si>
    <t xml:space="preserve">  Phase 4: Review &amp; Next Steps</t>
  </si>
  <si>
    <t xml:space="preserve">DELIVERABLES DASHBOARD  |  NorCal SBDC</t>
  </si>
  <si>
    <t xml:space="preserve">OVERALL SUMMARY</t>
  </si>
  <si>
    <t xml:space="preserve">Total Tasks</t>
  </si>
  <si>
    <t xml:space="preserve">Completed</t>
  </si>
  <si>
    <t xml:space="preserve">In Progress</t>
  </si>
  <si>
    <t xml:space="preserve">Blocked</t>
  </si>
  <si>
    <t xml:space="preserve">Deferred</t>
  </si>
  <si>
    <t xml:space="preserve">Milestones Total</t>
  </si>
  <si>
    <t xml:space="preserve">COMPLETION RATE</t>
  </si>
  <si>
    <t xml:space="preserve">% Complete</t>
  </si>
  <si>
    <t xml:space="preserve">PHASE BREAKDOWN</t>
  </si>
  <si>
    <t xml:space="preserve">Phase</t>
  </si>
  <si>
    <t xml:space="preserve">Tasks</t>
  </si>
  <si>
    <t xml:space="preserve">% Done</t>
  </si>
  <si>
    <t xml:space="preserve">Phase 1: Discovery &amp; Planning</t>
  </si>
  <si>
    <t xml:space="preserve">Phase 2: Strategy Development</t>
  </si>
  <si>
    <t xml:space="preserve">Phase 3: Execution</t>
  </si>
  <si>
    <t xml:space="preserve">Phase 4: Review &amp; Next Steps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</si>
</sst>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General"/>
    <numFmt numFmtId="167" formatCode="0.0%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7D8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0E8F5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  <fill>
      <patternFill patternType="solid">
        <fgColor rgb="FFD4EDDA"/>
        <bgColor rgb="FFD6EEF1"/>
      </patternFill>
    </fill>
    <fill>
      <patternFill patternType="solid">
        <fgColor rgb="FFD0E8F5"/>
        <bgColor rgb="FFD6EEF1"/>
      </patternFill>
    </fill>
    <fill>
      <patternFill patternType="solid">
        <fgColor rgb="FFF8D7DA"/>
        <bgColor rgb="FFDDDDDD"/>
      </patternFill>
    </fill>
    <fill>
      <patternFill patternType="solid">
        <fgColor rgb="FFFFF3CD"/>
        <bgColor rgb="FFFDF3E0"/>
      </patternFill>
    </fill>
    <fill>
      <patternFill patternType="solid">
        <fgColor rgb="FFFDF3E0"/>
        <bgColor rgb="FFFFF3C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1B3A5C"/>
        <sz val="9"/>
      </font>
      <fill>
        <patternFill>
          <bgColor rgb="FFD0E8F5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E8A020"/>
        <sz val="9"/>
      </font>
      <fill>
        <patternFill>
          <bgColor rgb="FFFDF3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F5F5F5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3"/>
      <c r="F2" s="2" t="s">
        <v>2</v>
      </c>
      <c r="G2" s="2"/>
      <c r="H2" s="3"/>
      <c r="I2" s="3"/>
      <c r="J2" s="4" t="s">
        <v>3</v>
      </c>
      <c r="K2" s="3"/>
      <c r="L2" s="3"/>
    </row>
    <row r="3" customFormat="false" ht="19.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</row>
    <row r="4" customFormat="false" ht="19.5" hidden="false" customHeight="true" outlineLevel="0" collapsed="false">
      <c r="A4" s="6" t="s">
        <v>16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21.75" hidden="false" customHeight="true" outlineLevel="0" collapsed="false">
      <c r="A5" s="7" t="n">
        <v>1</v>
      </c>
      <c r="B5" s="8"/>
      <c r="C5" s="9"/>
      <c r="D5" s="10" t="s">
        <v>17</v>
      </c>
      <c r="E5" s="11" t="s">
        <v>18</v>
      </c>
      <c r="F5" s="12"/>
      <c r="G5" s="12"/>
      <c r="H5" s="11" t="s">
        <v>19</v>
      </c>
      <c r="I5" s="8"/>
      <c r="J5" s="11" t="s">
        <v>20</v>
      </c>
      <c r="K5" s="9"/>
      <c r="L5" s="8"/>
    </row>
    <row r="6" customFormat="false" ht="21.75" hidden="false" customHeight="true" outlineLevel="0" collapsed="false">
      <c r="A6" s="13" t="n">
        <v>2</v>
      </c>
      <c r="B6" s="14"/>
      <c r="C6" s="15"/>
      <c r="D6" s="10" t="s">
        <v>17</v>
      </c>
      <c r="E6" s="10" t="s">
        <v>18</v>
      </c>
      <c r="F6" s="16"/>
      <c r="G6" s="16"/>
      <c r="H6" s="10" t="s">
        <v>19</v>
      </c>
      <c r="I6" s="14"/>
      <c r="J6" s="10" t="s">
        <v>20</v>
      </c>
      <c r="K6" s="15"/>
      <c r="L6" s="14"/>
    </row>
    <row r="7" customFormat="false" ht="21.75" hidden="false" customHeight="true" outlineLevel="0" collapsed="false">
      <c r="A7" s="7" t="n">
        <v>3</v>
      </c>
      <c r="B7" s="8"/>
      <c r="C7" s="9"/>
      <c r="D7" s="10" t="s">
        <v>17</v>
      </c>
      <c r="E7" s="11" t="s">
        <v>18</v>
      </c>
      <c r="F7" s="12"/>
      <c r="G7" s="12"/>
      <c r="H7" s="11" t="s">
        <v>19</v>
      </c>
      <c r="I7" s="8"/>
      <c r="J7" s="11" t="s">
        <v>20</v>
      </c>
      <c r="K7" s="9"/>
      <c r="L7" s="8"/>
    </row>
    <row r="8" customFormat="false" ht="21.75" hidden="false" customHeight="true" outlineLevel="0" collapsed="false">
      <c r="A8" s="13" t="n">
        <v>4</v>
      </c>
      <c r="B8" s="14"/>
      <c r="C8" s="15"/>
      <c r="D8" s="10" t="s">
        <v>17</v>
      </c>
      <c r="E8" s="10" t="s">
        <v>18</v>
      </c>
      <c r="F8" s="16"/>
      <c r="G8" s="16"/>
      <c r="H8" s="10" t="s">
        <v>19</v>
      </c>
      <c r="I8" s="14"/>
      <c r="J8" s="10" t="s">
        <v>20</v>
      </c>
      <c r="K8" s="15"/>
      <c r="L8" s="14"/>
    </row>
    <row r="9" customFormat="false" ht="21.75" hidden="false" customHeight="true" outlineLevel="0" collapsed="false">
      <c r="A9" s="7" t="n">
        <v>5</v>
      </c>
      <c r="B9" s="8"/>
      <c r="C9" s="9"/>
      <c r="D9" s="10" t="s">
        <v>17</v>
      </c>
      <c r="E9" s="11" t="s">
        <v>18</v>
      </c>
      <c r="F9" s="12"/>
      <c r="G9" s="12"/>
      <c r="H9" s="11" t="s">
        <v>19</v>
      </c>
      <c r="I9" s="8"/>
      <c r="J9" s="11" t="s">
        <v>20</v>
      </c>
      <c r="K9" s="9"/>
      <c r="L9" s="8"/>
    </row>
    <row r="10" customFormat="false" ht="19.5" hidden="false" customHeight="true" outlineLevel="0" collapsed="false">
      <c r="A10" s="6" t="s">
        <v>21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21.75" hidden="false" customHeight="true" outlineLevel="0" collapsed="false">
      <c r="A11" s="7" t="n">
        <v>6</v>
      </c>
      <c r="B11" s="8"/>
      <c r="C11" s="9"/>
      <c r="D11" s="10" t="s">
        <v>17</v>
      </c>
      <c r="E11" s="11" t="s">
        <v>18</v>
      </c>
      <c r="F11" s="12"/>
      <c r="G11" s="12"/>
      <c r="H11" s="11" t="s">
        <v>19</v>
      </c>
      <c r="I11" s="8"/>
      <c r="J11" s="11" t="s">
        <v>20</v>
      </c>
      <c r="K11" s="9"/>
      <c r="L11" s="8"/>
    </row>
    <row r="12" customFormat="false" ht="21.75" hidden="false" customHeight="true" outlineLevel="0" collapsed="false">
      <c r="A12" s="13" t="n">
        <v>7</v>
      </c>
      <c r="B12" s="14"/>
      <c r="C12" s="15"/>
      <c r="D12" s="10" t="s">
        <v>17</v>
      </c>
      <c r="E12" s="10" t="s">
        <v>18</v>
      </c>
      <c r="F12" s="16"/>
      <c r="G12" s="16"/>
      <c r="H12" s="10" t="s">
        <v>19</v>
      </c>
      <c r="I12" s="14"/>
      <c r="J12" s="10" t="s">
        <v>20</v>
      </c>
      <c r="K12" s="15"/>
      <c r="L12" s="14"/>
    </row>
    <row r="13" customFormat="false" ht="21.75" hidden="false" customHeight="true" outlineLevel="0" collapsed="false">
      <c r="A13" s="7" t="n">
        <v>8</v>
      </c>
      <c r="B13" s="8"/>
      <c r="C13" s="9"/>
      <c r="D13" s="10" t="s">
        <v>17</v>
      </c>
      <c r="E13" s="11" t="s">
        <v>18</v>
      </c>
      <c r="F13" s="12"/>
      <c r="G13" s="12"/>
      <c r="H13" s="11" t="s">
        <v>19</v>
      </c>
      <c r="I13" s="8"/>
      <c r="J13" s="11" t="s">
        <v>20</v>
      </c>
      <c r="K13" s="9"/>
      <c r="L13" s="8"/>
    </row>
    <row r="14" customFormat="false" ht="21.75" hidden="false" customHeight="true" outlineLevel="0" collapsed="false">
      <c r="A14" s="13" t="n">
        <v>9</v>
      </c>
      <c r="B14" s="14"/>
      <c r="C14" s="15"/>
      <c r="D14" s="10" t="s">
        <v>17</v>
      </c>
      <c r="E14" s="10" t="s">
        <v>18</v>
      </c>
      <c r="F14" s="16"/>
      <c r="G14" s="16"/>
      <c r="H14" s="10" t="s">
        <v>19</v>
      </c>
      <c r="I14" s="14"/>
      <c r="J14" s="10" t="s">
        <v>20</v>
      </c>
      <c r="K14" s="15"/>
      <c r="L14" s="14"/>
    </row>
    <row r="15" customFormat="false" ht="21.75" hidden="false" customHeight="true" outlineLevel="0" collapsed="false">
      <c r="A15" s="7" t="n">
        <v>10</v>
      </c>
      <c r="B15" s="8"/>
      <c r="C15" s="9"/>
      <c r="D15" s="10" t="s">
        <v>17</v>
      </c>
      <c r="E15" s="11" t="s">
        <v>18</v>
      </c>
      <c r="F15" s="12"/>
      <c r="G15" s="12"/>
      <c r="H15" s="11" t="s">
        <v>19</v>
      </c>
      <c r="I15" s="8"/>
      <c r="J15" s="11" t="s">
        <v>20</v>
      </c>
      <c r="K15" s="9"/>
      <c r="L15" s="8"/>
    </row>
    <row r="16" customFormat="false" ht="19.5" hidden="false" customHeight="true" outlineLevel="0" collapsed="false">
      <c r="A16" s="6" t="s">
        <v>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21.75" hidden="false" customHeight="true" outlineLevel="0" collapsed="false">
      <c r="A17" s="7" t="n">
        <v>11</v>
      </c>
      <c r="B17" s="8"/>
      <c r="C17" s="9"/>
      <c r="D17" s="10" t="s">
        <v>17</v>
      </c>
      <c r="E17" s="11" t="s">
        <v>18</v>
      </c>
      <c r="F17" s="12"/>
      <c r="G17" s="12"/>
      <c r="H17" s="11" t="s">
        <v>19</v>
      </c>
      <c r="I17" s="8"/>
      <c r="J17" s="11" t="s">
        <v>20</v>
      </c>
      <c r="K17" s="9"/>
      <c r="L17" s="8"/>
    </row>
    <row r="18" customFormat="false" ht="21.75" hidden="false" customHeight="true" outlineLevel="0" collapsed="false">
      <c r="A18" s="13" t="n">
        <v>12</v>
      </c>
      <c r="B18" s="14"/>
      <c r="C18" s="15"/>
      <c r="D18" s="10" t="s">
        <v>17</v>
      </c>
      <c r="E18" s="10" t="s">
        <v>18</v>
      </c>
      <c r="F18" s="16"/>
      <c r="G18" s="16"/>
      <c r="H18" s="10" t="s">
        <v>19</v>
      </c>
      <c r="I18" s="14"/>
      <c r="J18" s="10" t="s">
        <v>20</v>
      </c>
      <c r="K18" s="15"/>
      <c r="L18" s="14"/>
    </row>
    <row r="19" customFormat="false" ht="21.75" hidden="false" customHeight="true" outlineLevel="0" collapsed="false">
      <c r="A19" s="7" t="n">
        <v>13</v>
      </c>
      <c r="B19" s="8"/>
      <c r="C19" s="9"/>
      <c r="D19" s="10" t="s">
        <v>17</v>
      </c>
      <c r="E19" s="11" t="s">
        <v>18</v>
      </c>
      <c r="F19" s="12"/>
      <c r="G19" s="12"/>
      <c r="H19" s="11" t="s">
        <v>19</v>
      </c>
      <c r="I19" s="8"/>
      <c r="J19" s="11" t="s">
        <v>20</v>
      </c>
      <c r="K19" s="9"/>
      <c r="L19" s="8"/>
    </row>
    <row r="20" customFormat="false" ht="21.75" hidden="false" customHeight="true" outlineLevel="0" collapsed="false">
      <c r="A20" s="13" t="n">
        <v>14</v>
      </c>
      <c r="B20" s="14"/>
      <c r="C20" s="15"/>
      <c r="D20" s="10" t="s">
        <v>17</v>
      </c>
      <c r="E20" s="10" t="s">
        <v>18</v>
      </c>
      <c r="F20" s="16"/>
      <c r="G20" s="16"/>
      <c r="H20" s="10" t="s">
        <v>19</v>
      </c>
      <c r="I20" s="14"/>
      <c r="J20" s="10" t="s">
        <v>20</v>
      </c>
      <c r="K20" s="15"/>
      <c r="L20" s="14"/>
    </row>
    <row r="21" customFormat="false" ht="21.75" hidden="false" customHeight="true" outlineLevel="0" collapsed="false">
      <c r="A21" s="7" t="n">
        <v>15</v>
      </c>
      <c r="B21" s="8"/>
      <c r="C21" s="9"/>
      <c r="D21" s="10" t="s">
        <v>17</v>
      </c>
      <c r="E21" s="11" t="s">
        <v>18</v>
      </c>
      <c r="F21" s="12"/>
      <c r="G21" s="12"/>
      <c r="H21" s="11" t="s">
        <v>19</v>
      </c>
      <c r="I21" s="8"/>
      <c r="J21" s="11" t="s">
        <v>20</v>
      </c>
      <c r="K21" s="9"/>
      <c r="L21" s="8"/>
    </row>
    <row r="22" customFormat="false" ht="21.75" hidden="false" customHeight="true" outlineLevel="0" collapsed="false">
      <c r="A22" s="13" t="n">
        <v>16</v>
      </c>
      <c r="B22" s="14"/>
      <c r="C22" s="15"/>
      <c r="D22" s="10" t="s">
        <v>17</v>
      </c>
      <c r="E22" s="10" t="s">
        <v>18</v>
      </c>
      <c r="F22" s="16"/>
      <c r="G22" s="16"/>
      <c r="H22" s="10" t="s">
        <v>19</v>
      </c>
      <c r="I22" s="14"/>
      <c r="J22" s="10" t="s">
        <v>20</v>
      </c>
      <c r="K22" s="15"/>
      <c r="L22" s="14"/>
    </row>
    <row r="23" customFormat="false" ht="19.5" hidden="false" customHeight="true" outlineLevel="0" collapsed="false">
      <c r="A23" s="6" t="s">
        <v>23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21.75" hidden="false" customHeight="true" outlineLevel="0" collapsed="false">
      <c r="A24" s="7" t="n">
        <v>17</v>
      </c>
      <c r="B24" s="8"/>
      <c r="C24" s="9"/>
      <c r="D24" s="10" t="s">
        <v>17</v>
      </c>
      <c r="E24" s="11" t="s">
        <v>18</v>
      </c>
      <c r="F24" s="12"/>
      <c r="G24" s="12"/>
      <c r="H24" s="11" t="s">
        <v>19</v>
      </c>
      <c r="I24" s="8"/>
      <c r="J24" s="11" t="s">
        <v>20</v>
      </c>
      <c r="K24" s="9"/>
      <c r="L24" s="8"/>
    </row>
    <row r="25" customFormat="false" ht="21.75" hidden="false" customHeight="true" outlineLevel="0" collapsed="false">
      <c r="A25" s="13" t="n">
        <v>18</v>
      </c>
      <c r="B25" s="14"/>
      <c r="C25" s="15"/>
      <c r="D25" s="10" t="s">
        <v>17</v>
      </c>
      <c r="E25" s="10" t="s">
        <v>18</v>
      </c>
      <c r="F25" s="16"/>
      <c r="G25" s="16"/>
      <c r="H25" s="10" t="s">
        <v>19</v>
      </c>
      <c r="I25" s="14"/>
      <c r="J25" s="10" t="s">
        <v>20</v>
      </c>
      <c r="K25" s="15"/>
      <c r="L25" s="14"/>
    </row>
    <row r="26" customFormat="false" ht="21.75" hidden="false" customHeight="true" outlineLevel="0" collapsed="false">
      <c r="A26" s="7" t="n">
        <v>19</v>
      </c>
      <c r="B26" s="8"/>
      <c r="C26" s="9"/>
      <c r="D26" s="10" t="s">
        <v>17</v>
      </c>
      <c r="E26" s="11" t="s">
        <v>18</v>
      </c>
      <c r="F26" s="12"/>
      <c r="G26" s="12"/>
      <c r="H26" s="11" t="s">
        <v>19</v>
      </c>
      <c r="I26" s="8"/>
      <c r="J26" s="11" t="s">
        <v>20</v>
      </c>
      <c r="K26" s="9"/>
      <c r="L26" s="8"/>
    </row>
    <row r="27" customFormat="false" ht="21.75" hidden="false" customHeight="true" outlineLevel="0" collapsed="false">
      <c r="A27" s="13" t="n">
        <v>20</v>
      </c>
      <c r="B27" s="14"/>
      <c r="C27" s="15"/>
      <c r="D27" s="10" t="s">
        <v>17</v>
      </c>
      <c r="E27" s="10" t="s">
        <v>18</v>
      </c>
      <c r="F27" s="16"/>
      <c r="G27" s="16"/>
      <c r="H27" s="10" t="s">
        <v>19</v>
      </c>
      <c r="I27" s="14"/>
      <c r="J27" s="10" t="s">
        <v>20</v>
      </c>
      <c r="K27" s="15"/>
      <c r="L27" s="14"/>
    </row>
  </sheetData>
  <mergeCells count="10">
    <mergeCell ref="A1:L1"/>
    <mergeCell ref="A2:B2"/>
    <mergeCell ref="C2:E2"/>
    <mergeCell ref="F2:G2"/>
    <mergeCell ref="H2:I2"/>
    <mergeCell ref="K2:L2"/>
    <mergeCell ref="A4:L4"/>
    <mergeCell ref="A10:L10"/>
    <mergeCell ref="A16:L16"/>
    <mergeCell ref="A23:L23"/>
  </mergeCells>
  <conditionalFormatting sqref="D5:D27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"Deferred"</formula>
    </cfRule>
  </conditionalFormatting>
  <conditionalFormatting sqref="H5:H27">
    <cfRule type="cellIs" priority="6" operator="equal" aboveAverage="0" equalAverage="0" bottom="0" percent="0" rank="0" text="" dxfId="4">
      <formula>"Yes"</formula>
    </cfRule>
  </conditionalFormatting>
  <dataValidations count="4">
    <dataValidation allowBlank="true" errorStyle="stop" operator="between" showDropDown="false" showErrorMessage="false" showInputMessage="false" sqref="D5:D9 D11:D15 D17:D22 D24:D27" type="list">
      <formula1>"Not Started,In Progress,Completed,Blocked,Deferred"</formula1>
      <formula2>0</formula2>
    </dataValidation>
    <dataValidation allowBlank="true" errorStyle="stop" operator="between" showDropDown="false" showErrorMessage="false" showInputMessage="false" sqref="E5:E9 E11:E15 E17:E22 E24:E27" type="list">
      <formula1>"Low,Medium,High,Critical"</formula1>
      <formula2>0</formula2>
    </dataValidation>
    <dataValidation allowBlank="true" errorStyle="stop" operator="between" showDropDown="false" showErrorMessage="false" showInputMessage="false" sqref="J5:J9 J11:J15 J17:J22 J24:J27" type="list">
      <formula1>"0%,10%,25%,50%,75%,90%,100%"</formula1>
      <formula2>0</formula2>
    </dataValidation>
    <dataValidation allowBlank="true" errorStyle="stop" operator="between" showDropDown="false" showErrorMessage="false" showInputMessage="false" sqref="H5:H9 H11:H15 H17:H22 H24:H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7" min="6" style="0" width="10"/>
  </cols>
  <sheetData>
    <row r="1" customFormat="false" ht="27.75" hidden="false" customHeight="true" outlineLevel="0" collapsed="false">
      <c r="A1" s="17" t="s">
        <v>24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18" t="s">
        <v>25</v>
      </c>
      <c r="B2" s="18"/>
    </row>
    <row r="3" customFormat="false" ht="19.5" hidden="false" customHeight="true" outlineLevel="0" collapsed="false">
      <c r="A3" s="19" t="s">
        <v>26</v>
      </c>
      <c r="B3" s="20" t="n">
        <f aca="false">COUNTA('Task Tracker'!B5:B27)</f>
        <v>0</v>
      </c>
    </row>
    <row r="4" customFormat="false" ht="19.5" hidden="false" customHeight="true" outlineLevel="0" collapsed="false">
      <c r="A4" s="21" t="s">
        <v>27</v>
      </c>
      <c r="B4" s="22" t="n">
        <f aca="false">COUNTIF('Task Tracker'!D5:D27,"Completed")</f>
        <v>0</v>
      </c>
    </row>
    <row r="5" customFormat="false" ht="19.5" hidden="false" customHeight="true" outlineLevel="0" collapsed="false">
      <c r="A5" s="23" t="s">
        <v>28</v>
      </c>
      <c r="B5" s="24" t="n">
        <f aca="false">COUNTIF('Task Tracker'!D5:D27,"In Progress")</f>
        <v>0</v>
      </c>
    </row>
    <row r="6" customFormat="false" ht="19.5" hidden="false" customHeight="true" outlineLevel="0" collapsed="false">
      <c r="A6" s="19" t="s">
        <v>17</v>
      </c>
      <c r="B6" s="25" t="n">
        <f aca="false">COUNTIF('Task Tracker'!D5:D27,"Not Started")</f>
        <v>20</v>
      </c>
    </row>
    <row r="7" customFormat="false" ht="19.5" hidden="false" customHeight="true" outlineLevel="0" collapsed="false">
      <c r="A7" s="26" t="s">
        <v>29</v>
      </c>
      <c r="B7" s="27" t="n">
        <f aca="false">COUNTIF('Task Tracker'!D5:D27,"Blocked")</f>
        <v>0</v>
      </c>
    </row>
    <row r="8" customFormat="false" ht="19.5" hidden="false" customHeight="true" outlineLevel="0" collapsed="false">
      <c r="A8" s="28" t="s">
        <v>30</v>
      </c>
      <c r="B8" s="29" t="n">
        <f aca="false">COUNTIF('Task Tracker'!D5:D27,"Deferred")</f>
        <v>0</v>
      </c>
    </row>
    <row r="9" customFormat="false" ht="19.5" hidden="false" customHeight="true" outlineLevel="0" collapsed="false">
      <c r="A9" s="30" t="s">
        <v>31</v>
      </c>
      <c r="B9" s="31" t="n">
        <f aca="false">COUNTIF('Task Tracker'!H5:H27,"Yes")</f>
        <v>0</v>
      </c>
    </row>
    <row r="10" customFormat="false" ht="19.5" hidden="false" customHeight="true" outlineLevel="0" collapsed="false"/>
    <row r="11" customFormat="false" ht="19.5" hidden="false" customHeight="true" outlineLevel="0" collapsed="false">
      <c r="A11" s="18" t="s">
        <v>32</v>
      </c>
      <c r="B11" s="18"/>
    </row>
    <row r="12" customFormat="false" ht="19.5" hidden="false" customHeight="true" outlineLevel="0" collapsed="false">
      <c r="A12" s="32" t="s">
        <v>33</v>
      </c>
      <c r="B12" s="33" t="n">
        <f aca="false">IFERROR(COUNTIF('Task Tracker'!D5:D27,"Completed")/COUNTA('Task Tracker'!B5:B27),0)</f>
        <v>0</v>
      </c>
    </row>
    <row r="14" customFormat="false" ht="19.5" hidden="false" customHeight="true" outlineLevel="0" collapsed="false">
      <c r="A14" s="34" t="s">
        <v>34</v>
      </c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A15" s="35" t="s">
        <v>35</v>
      </c>
      <c r="B15" s="35" t="s">
        <v>36</v>
      </c>
      <c r="C15" s="35" t="s">
        <v>27</v>
      </c>
      <c r="D15" s="35" t="s">
        <v>28</v>
      </c>
      <c r="E15" s="35" t="s">
        <v>17</v>
      </c>
      <c r="F15" s="35" t="s">
        <v>29</v>
      </c>
      <c r="G15" s="35" t="s">
        <v>37</v>
      </c>
    </row>
    <row r="16" customFormat="false" ht="19.5" hidden="false" customHeight="true" outlineLevel="0" collapsed="false">
      <c r="A16" s="36" t="s">
        <v>38</v>
      </c>
      <c r="B16" s="37" t="n">
        <f aca="false">COUNTA('Task Tracker'!B5:B9)</f>
        <v>0</v>
      </c>
      <c r="C16" s="37" t="n">
        <f aca="false">COUNTIF('Task Tracker'!D5:D9,"Completed")</f>
        <v>0</v>
      </c>
      <c r="D16" s="37" t="n">
        <f aca="false">COUNTIF('Task Tracker'!D5:D9,"In Progress")</f>
        <v>0</v>
      </c>
      <c r="E16" s="37" t="n">
        <f aca="false">COUNTIF('Task Tracker'!D5:D9,"Not Started")</f>
        <v>5</v>
      </c>
      <c r="F16" s="37" t="n">
        <f aca="false">COUNTIF('Task Tracker'!D5:D9,"Blocked")</f>
        <v>0</v>
      </c>
      <c r="G16" s="38" t="n">
        <f aca="false">IFERROR(COUNTIF('Task Tracker'!D5:D9,"Completed")/COUNTA('Task Tracker'!B5:B9),0)</f>
        <v>0</v>
      </c>
    </row>
    <row r="17" customFormat="false" ht="19.5" hidden="false" customHeight="true" outlineLevel="0" collapsed="false">
      <c r="A17" s="19" t="s">
        <v>39</v>
      </c>
      <c r="B17" s="39" t="n">
        <f aca="false">COUNTA('Task Tracker'!B11:B15)</f>
        <v>0</v>
      </c>
      <c r="C17" s="39" t="n">
        <f aca="false">COUNTIF('Task Tracker'!D11:D15,"Completed")</f>
        <v>0</v>
      </c>
      <c r="D17" s="39" t="n">
        <f aca="false">COUNTIF('Task Tracker'!D11:D15,"In Progress")</f>
        <v>0</v>
      </c>
      <c r="E17" s="39" t="n">
        <f aca="false">COUNTIF('Task Tracker'!D11:D15,"Not Started")</f>
        <v>5</v>
      </c>
      <c r="F17" s="39" t="n">
        <f aca="false">COUNTIF('Task Tracker'!D11:D15,"Blocked")</f>
        <v>0</v>
      </c>
      <c r="G17" s="40" t="n">
        <f aca="false">IFERROR(COUNTIF('Task Tracker'!D11:D15,"Completed")/COUNTA('Task Tracker'!B11:B15),0)</f>
        <v>0</v>
      </c>
    </row>
    <row r="18" customFormat="false" ht="19.5" hidden="false" customHeight="true" outlineLevel="0" collapsed="false">
      <c r="A18" s="36" t="s">
        <v>40</v>
      </c>
      <c r="B18" s="37" t="n">
        <f aca="false">COUNTA('Task Tracker'!B17:B22)</f>
        <v>0</v>
      </c>
      <c r="C18" s="37" t="n">
        <f aca="false">COUNTIF('Task Tracker'!D17:D22,"Completed")</f>
        <v>0</v>
      </c>
      <c r="D18" s="37" t="n">
        <f aca="false">COUNTIF('Task Tracker'!D17:D22,"In Progress")</f>
        <v>0</v>
      </c>
      <c r="E18" s="37" t="n">
        <f aca="false">COUNTIF('Task Tracker'!D17:D22,"Not Started")</f>
        <v>6</v>
      </c>
      <c r="F18" s="37" t="n">
        <f aca="false">COUNTIF('Task Tracker'!D17:D22,"Blocked")</f>
        <v>0</v>
      </c>
      <c r="G18" s="38" t="n">
        <f aca="false">IFERROR(COUNTIF('Task Tracker'!D17:D22,"Completed")/COUNTA('Task Tracker'!B17:B22),0)</f>
        <v>0</v>
      </c>
    </row>
    <row r="19" customFormat="false" ht="19.5" hidden="false" customHeight="true" outlineLevel="0" collapsed="false">
      <c r="A19" s="19" t="s">
        <v>41</v>
      </c>
      <c r="B19" s="39" t="n">
        <f aca="false">COUNTA('Task Tracker'!B24:B27)</f>
        <v>0</v>
      </c>
      <c r="C19" s="39" t="n">
        <f aca="false">COUNTIF('Task Tracker'!D24:D27,"Completed")</f>
        <v>0</v>
      </c>
      <c r="D19" s="39" t="n">
        <f aca="false">COUNTIF('Task Tracker'!D24:D27,"In Progress")</f>
        <v>0</v>
      </c>
      <c r="E19" s="39" t="n">
        <f aca="false">COUNTIF('Task Tracker'!D24:D27,"Not Started")</f>
        <v>4</v>
      </c>
      <c r="F19" s="39" t="n">
        <f aca="false">COUNTIF('Task Tracker'!D24:D27,"Blocked")</f>
        <v>0</v>
      </c>
      <c r="G19" s="40" t="n">
        <f aca="false">IFERROR(COUNTIF('Task Tracker'!D24:D27,"Completed")/COUNTA('Task Tracker'!B24:B27),0)</f>
        <v>0</v>
      </c>
    </row>
  </sheetData>
  <mergeCells count="4">
    <mergeCell ref="A1:G1"/>
    <mergeCell ref="A2:B2"/>
    <mergeCell ref="A11:B1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2026-04-13T03:34:30Z</dcterms:created>
  <dc:creator>openpyxl</dc:creator>
  <dc:description/>
  <dc:language>en-US</dc:language>
  <cp:lastModifiedBy/>
  <dcterms:modified xsi:type="dcterms:W3CDTF">2026-04-13T03:34:30Z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