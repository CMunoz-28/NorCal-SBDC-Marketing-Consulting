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0-Day Roadmap" sheetId="1" state="visible" r:id="rId3"/>
    <sheet name="Progress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<sst xmlns="http://schemas.openxmlformats.org/spreadsheetml/2006/main" count="180" uniqueCount="87">
  <si>
    <t xml:space="preserve">90-DAY MARKETING ROADMAP  |  NorCal SBDC</t>
  </si>
  <si>
    <t xml:space="preserve">Client / Business:</t>
  </si>
  <si>
    <t xml:space="preserve">Advisor:</t>
  </si>
  <si>
    <t xml:space="preserve">Start Date:</t>
  </si>
  <si>
    <t xml:space="preserve">Primary 90-Day Goal:</t>
  </si>
  <si>
    <t xml:space="preserve">Revenue Target:</t>
  </si>
  <si>
    <t xml:space="preserve">#</t>
  </si>
  <si>
    <t xml:space="preserve">Task / Initiative</t>
  </si>
  <si>
    <t xml:space="preserve">Marketing Channel</t>
  </si>
  <si>
    <t xml:space="preserve">Owner</t>
  </si>
  <si>
    <t xml:space="preserve">Priority</t>
  </si>
  <si>
    <t xml:space="preserve">Phase</t>
  </si>
  <si>
    <t xml:space="preserve">Status</t>
  </si>
  <si>
    <t xml:space="preserve">Due Date</t>
  </si>
  <si>
    <t xml:space="preserve">Success Metric</t>
  </si>
  <si>
    <t xml:space="preserve">Notes</t>
  </si>
  <si>
    <t xml:space="preserve">  PHASE 1  —  DAYS 1–30  |  Foundation &amp; Quick Wins</t>
  </si>
  <si>
    <t xml:space="preserve">Set up / claim Google Business Profile</t>
  </si>
  <si>
    <t xml:space="preserve">Local/Events</t>
  </si>
  <si>
    <t xml:space="preserve">Client</t>
  </si>
  <si>
    <t xml:space="preserve">High</t>
  </si>
  <si>
    <t xml:space="preserve">Phase 1 (Days 1-30)</t>
  </si>
  <si>
    <t xml:space="preserve">Not Started</t>
  </si>
  <si>
    <t xml:space="preserve">Impressions, calls from GMB</t>
  </si>
  <si>
    <t xml:space="preserve">Audit existing website for SEO basics</t>
  </si>
  <si>
    <t xml:space="preserve">SEO/Website</t>
  </si>
  <si>
    <t xml:space="preserve">Core Web Vitals score</t>
  </si>
  <si>
    <t xml:space="preserve">Define target audience &amp; messaging</t>
  </si>
  <si>
    <t xml:space="preserve">Branding</t>
  </si>
  <si>
    <t xml:space="preserve">Both</t>
  </si>
  <si>
    <t xml:space="preserve">Completed persona doc</t>
  </si>
  <si>
    <t xml:space="preserve">Set up or clean up email list</t>
  </si>
  <si>
    <t xml:space="preserve">Email</t>
  </si>
  <si>
    <t xml:space="preserve">Medium</t>
  </si>
  <si>
    <t xml:space="preserve">List size, deliverability rate</t>
  </si>
  <si>
    <t xml:space="preserve">Establish social media posting schedule</t>
  </si>
  <si>
    <t xml:space="preserve">Social Media</t>
  </si>
  <si>
    <t xml:space="preserve">Posts/week consistency</t>
  </si>
  <si>
    <t xml:space="preserve">Identify top 3 competitors &amp; analyze</t>
  </si>
  <si>
    <t xml:space="preserve">Completed competitor analysis</t>
  </si>
  <si>
    <t xml:space="preserve">Install Google Analytics / tracking</t>
  </si>
  <si>
    <t xml:space="preserve">Analytics</t>
  </si>
  <si>
    <t xml:space="preserve">Tracking confirmed live</t>
  </si>
  <si>
    <t xml:space="preserve">  PHASE 2  —  DAYS 31–60  |  Build &amp; Execute</t>
  </si>
  <si>
    <t xml:space="preserve">Launch or refresh email newsletter</t>
  </si>
  <si>
    <t xml:space="preserve">Phase 2 (Days 31-60)</t>
  </si>
  <si>
    <t xml:space="preserve">Open rate &gt; 25%</t>
  </si>
  <si>
    <t xml:space="preserve">Create 4 weeks of social content</t>
  </si>
  <si>
    <t xml:space="preserve">Engagement rate</t>
  </si>
  <si>
    <t xml:space="preserve">Publish 2 SEO blog posts or landing pages</t>
  </si>
  <si>
    <t xml:space="preserve">Organic traffic lift</t>
  </si>
  <si>
    <t xml:space="preserve">Request 10 Google reviews from customers</t>
  </si>
  <si>
    <t xml:space="preserve">Review count &amp; rating</t>
  </si>
  <si>
    <t xml:space="preserve">Test one paid ad campaign</t>
  </si>
  <si>
    <t xml:space="preserve">Paid Ads</t>
  </si>
  <si>
    <t xml:space="preserve">CPC, CTR, conversions</t>
  </si>
  <si>
    <t xml:space="preserve">Update website copy with new messaging</t>
  </si>
  <si>
    <t xml:space="preserve">Bounce rate improvement</t>
  </si>
  <si>
    <t xml:space="preserve">  PHASE 3  —  DAYS 61–90  |  Optimize &amp; Scale</t>
  </si>
  <si>
    <t xml:space="preserve">Review analytics — what's working?</t>
  </si>
  <si>
    <t xml:space="preserve">Phase 3 (Days 61-90)</t>
  </si>
  <si>
    <t xml:space="preserve">Traffic, leads, revenue change</t>
  </si>
  <si>
    <t xml:space="preserve">Double down on best performing channel</t>
  </si>
  <si>
    <t xml:space="preserve">Channel-specific KPI</t>
  </si>
  <si>
    <t xml:space="preserve">Launch referral or loyalty program</t>
  </si>
  <si>
    <t xml:space="preserve">Operations</t>
  </si>
  <si>
    <t xml:space="preserve">Referrals generated</t>
  </si>
  <si>
    <t xml:space="preserve">Refine paid ad targeting based on data</t>
  </si>
  <si>
    <t xml:space="preserve">ROAS improvement</t>
  </si>
  <si>
    <t xml:space="preserve">Plan next 90-day cycle</t>
  </si>
  <si>
    <t xml:space="preserve">Next roadmap drafted</t>
  </si>
  <si>
    <t xml:space="preserve">Conduct customer feedback survey</t>
  </si>
  <si>
    <t xml:space="preserve">Low</t>
  </si>
  <si>
    <t xml:space="preserve">Responses collected</t>
  </si>
  <si>
    <t xml:space="preserve">90-DAY ROADMAP  |  PROGRESS DASHBOARD</t>
  </si>
  <si>
    <t xml:space="preserve">OVERALL PROGRESS</t>
  </si>
  <si>
    <t xml:space="preserve">Total Tasks</t>
  </si>
  <si>
    <t xml:space="preserve">Completed</t>
  </si>
  <si>
    <t xml:space="preserve">In Progress</t>
  </si>
  <si>
    <t xml:space="preserve">Blocked</t>
  </si>
  <si>
    <t xml:space="preserve">% Complete</t>
  </si>
  <si>
    <t xml:space="preserve">PHASE BREAKDOWN</t>
  </si>
  <si>
    <t xml:space="preserve">Total</t>
  </si>
  <si>
    <t xml:space="preserve">% Done</t>
  </si>
  <si>
    <t xml:space="preserve">Phase 1  (Days 1–30)</t>
  </si>
  <si>
    <t xml:space="preserve">Phase 2  (Days 31–60)</t>
  </si>
  <si>
    <t xml:space="preserve">Phase 3  (Days 61–90)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</si>
</sst>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yy"/>
    <numFmt numFmtId="166" formatCode="\$#,##0"/>
    <numFmt numFmtId="167" formatCode="mm/dd/yy"/>
    <numFmt numFmtId="168" formatCode="General"/>
    <numFmt numFmtId="169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b val="true"/>
      <sz val="9"/>
      <color rgb="FF111111"/>
      <name val="Arial"/>
      <family val="0"/>
      <charset val="1"/>
    </font>
    <font>
      <sz val="9"/>
      <color rgb="FF111111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111111"/>
      <name val="Arial"/>
      <family val="0"/>
      <charset val="1"/>
    </font>
    <font>
      <b val="true"/>
      <sz val="9"/>
      <color rgb="FF2E7D8C"/>
      <name val="Arial"/>
      <family val="0"/>
      <charset val="1"/>
    </font>
    <font>
      <b val="true"/>
      <sz val="9"/>
      <color rgb="FF2C5F6E"/>
      <name val="Arial"/>
      <family val="0"/>
      <charset val="1"/>
    </font>
    <font>
      <b val="true"/>
      <sz val="12"/>
      <color rgb="FF1B3A5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EF1"/>
        <bgColor rgb="FFD0E8F5"/>
      </patternFill>
    </fill>
    <fill>
      <patternFill patternType="solid">
        <fgColor rgb="FFFFFFFF"/>
        <bgColor rgb="FFF5F5F5"/>
      </patternFill>
    </fill>
    <fill>
      <patternFill patternType="solid">
        <fgColor rgb="FF2E7D8C"/>
        <bgColor rgb="FF2C5F6E"/>
      </patternFill>
    </fill>
    <fill>
      <patternFill patternType="solid">
        <fgColor rgb="FFF5F5F5"/>
        <bgColor rgb="FFFDF3E0"/>
      </patternFill>
    </fill>
    <fill>
      <patternFill patternType="solid">
        <fgColor rgb="FF2C5F6E"/>
        <bgColor rgb="FF2E7D8C"/>
      </patternFill>
    </fill>
    <fill>
      <patternFill patternType="solid">
        <fgColor rgb="FFD4EDDA"/>
        <bgColor rgb="FFD6EEF1"/>
      </patternFill>
    </fill>
    <fill>
      <patternFill patternType="solid">
        <fgColor rgb="FFD0E8F5"/>
        <bgColor rgb="FFD6EEF1"/>
      </patternFill>
    </fill>
    <fill>
      <patternFill patternType="solid">
        <fgColor rgb="FFF8D7DA"/>
        <bgColor rgb="FFDDDDDD"/>
      </patternFill>
    </fill>
    <fill>
      <patternFill patternType="solid">
        <fgColor rgb="FFFDF3E0"/>
        <bgColor rgb="FFFFF3CD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2C5F6E"/>
      </left>
      <right/>
      <top style="thin">
        <color rgb="FF2C5F6E"/>
      </top>
      <bottom style="thin">
        <color rgb="FF2C5F6E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E7E3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1B3A5C"/>
        <sz val="9"/>
      </font>
      <fill>
        <patternFill>
          <bgColor rgb="FFD0E8F5"/>
        </patternFill>
      </fill>
    </dxf>
    <dxf>
      <font>
        <name val="Arial"/>
        <charset val="1"/>
        <family val="0"/>
        <b val="1"/>
        <color rgb="FF8B0000"/>
        <sz val="9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B6010"/>
        <sz val="9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2C5F6E"/>
      <rgbColor rgb="FFF5F5F5"/>
      <rgbColor rgb="FF808080"/>
      <rgbColor rgb="FF9999FF"/>
      <rgbColor rgb="FF993366"/>
      <rgbColor rgb="FFFFF3CD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8F5"/>
      <rgbColor rgb="FFD4EDDA"/>
      <rgbColor rgb="FFFDF3E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10" min="9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3"/>
      <c r="D2" s="3"/>
      <c r="E2" s="4" t="s">
        <v>2</v>
      </c>
      <c r="F2" s="3"/>
      <c r="G2" s="3"/>
      <c r="H2" s="4" t="s">
        <v>3</v>
      </c>
      <c r="I2" s="5"/>
      <c r="J2" s="5"/>
    </row>
    <row r="3" customFormat="false" ht="19.5" hidden="false" customHeight="true" outlineLevel="0" collapsed="false">
      <c r="A3" s="2" t="s">
        <v>4</v>
      </c>
      <c r="B3" s="2"/>
      <c r="C3" s="3"/>
      <c r="D3" s="3"/>
      <c r="E3" s="3"/>
      <c r="F3" s="3"/>
      <c r="G3" s="3"/>
      <c r="H3" s="4" t="s">
        <v>5</v>
      </c>
      <c r="I3" s="6"/>
      <c r="J3" s="6"/>
    </row>
    <row r="4" customFormat="false" ht="24" hidden="false" customHeight="true" outlineLevel="0" collapsed="false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</row>
    <row r="5" customFormat="false" ht="24" hidden="false" customHeight="true" outlineLevel="0" collapsed="false">
      <c r="A5" s="8" t="s">
        <v>16</v>
      </c>
      <c r="B5" s="8"/>
      <c r="C5" s="8"/>
      <c r="D5" s="8"/>
      <c r="E5" s="8"/>
      <c r="F5" s="8"/>
      <c r="G5" s="8"/>
      <c r="H5" s="8"/>
      <c r="I5" s="8"/>
      <c r="J5" s="8"/>
    </row>
    <row r="6" customFormat="false" ht="21.75" hidden="false" customHeight="true" outlineLevel="0" collapsed="false">
      <c r="A6" s="9" t="n">
        <v>1</v>
      </c>
      <c r="B6" s="10" t="s">
        <v>17</v>
      </c>
      <c r="C6" s="11" t="s">
        <v>18</v>
      </c>
      <c r="D6" s="11" t="s">
        <v>19</v>
      </c>
      <c r="E6" s="11" t="s">
        <v>20</v>
      </c>
      <c r="F6" s="12" t="s">
        <v>21</v>
      </c>
      <c r="G6" s="13" t="s">
        <v>22</v>
      </c>
      <c r="H6" s="14"/>
      <c r="I6" s="15" t="s">
        <v>23</v>
      </c>
      <c r="J6" s="16"/>
    </row>
    <row r="7" customFormat="false" ht="21.75" hidden="false" customHeight="true" outlineLevel="0" collapsed="false">
      <c r="A7" s="17" t="n">
        <v>2</v>
      </c>
      <c r="B7" s="18" t="s">
        <v>24</v>
      </c>
      <c r="C7" s="19" t="s">
        <v>25</v>
      </c>
      <c r="D7" s="19" t="s">
        <v>19</v>
      </c>
      <c r="E7" s="19" t="s">
        <v>20</v>
      </c>
      <c r="F7" s="20" t="s">
        <v>21</v>
      </c>
      <c r="G7" s="21" t="s">
        <v>22</v>
      </c>
      <c r="H7" s="22"/>
      <c r="I7" s="23" t="s">
        <v>26</v>
      </c>
      <c r="J7" s="24"/>
    </row>
    <row r="8" customFormat="false" ht="21.75" hidden="false" customHeight="true" outlineLevel="0" collapsed="false">
      <c r="A8" s="9" t="n">
        <v>3</v>
      </c>
      <c r="B8" s="10" t="s">
        <v>27</v>
      </c>
      <c r="C8" s="11" t="s">
        <v>28</v>
      </c>
      <c r="D8" s="11" t="s">
        <v>29</v>
      </c>
      <c r="E8" s="11" t="s">
        <v>20</v>
      </c>
      <c r="F8" s="12" t="s">
        <v>21</v>
      </c>
      <c r="G8" s="13" t="s">
        <v>22</v>
      </c>
      <c r="H8" s="14"/>
      <c r="I8" s="15" t="s">
        <v>30</v>
      </c>
      <c r="J8" s="16"/>
    </row>
    <row r="9" customFormat="false" ht="21.75" hidden="false" customHeight="true" outlineLevel="0" collapsed="false">
      <c r="A9" s="17" t="n">
        <v>4</v>
      </c>
      <c r="B9" s="18" t="s">
        <v>31</v>
      </c>
      <c r="C9" s="19" t="s">
        <v>32</v>
      </c>
      <c r="D9" s="19" t="s">
        <v>19</v>
      </c>
      <c r="E9" s="19" t="s">
        <v>33</v>
      </c>
      <c r="F9" s="20" t="s">
        <v>21</v>
      </c>
      <c r="G9" s="21" t="s">
        <v>22</v>
      </c>
      <c r="H9" s="22"/>
      <c r="I9" s="23" t="s">
        <v>34</v>
      </c>
      <c r="J9" s="24"/>
    </row>
    <row r="10" customFormat="false" ht="21.75" hidden="false" customHeight="true" outlineLevel="0" collapsed="false">
      <c r="A10" s="9" t="n">
        <v>5</v>
      </c>
      <c r="B10" s="10" t="s">
        <v>35</v>
      </c>
      <c r="C10" s="11" t="s">
        <v>36</v>
      </c>
      <c r="D10" s="11" t="s">
        <v>19</v>
      </c>
      <c r="E10" s="11" t="s">
        <v>33</v>
      </c>
      <c r="F10" s="12" t="s">
        <v>21</v>
      </c>
      <c r="G10" s="13" t="s">
        <v>22</v>
      </c>
      <c r="H10" s="14"/>
      <c r="I10" s="15" t="s">
        <v>37</v>
      </c>
      <c r="J10" s="16"/>
    </row>
    <row r="11" customFormat="false" ht="21.75" hidden="false" customHeight="true" outlineLevel="0" collapsed="false">
      <c r="A11" s="17" t="n">
        <v>6</v>
      </c>
      <c r="B11" s="18" t="s">
        <v>38</v>
      </c>
      <c r="C11" s="19" t="s">
        <v>28</v>
      </c>
      <c r="D11" s="19" t="s">
        <v>29</v>
      </c>
      <c r="E11" s="19" t="s">
        <v>33</v>
      </c>
      <c r="F11" s="20" t="s">
        <v>21</v>
      </c>
      <c r="G11" s="21" t="s">
        <v>22</v>
      </c>
      <c r="H11" s="22"/>
      <c r="I11" s="23" t="s">
        <v>39</v>
      </c>
      <c r="J11" s="24"/>
    </row>
    <row r="12" customFormat="false" ht="21.75" hidden="false" customHeight="true" outlineLevel="0" collapsed="false">
      <c r="A12" s="9" t="n">
        <v>7</v>
      </c>
      <c r="B12" s="10" t="s">
        <v>40</v>
      </c>
      <c r="C12" s="11" t="s">
        <v>41</v>
      </c>
      <c r="D12" s="11" t="s">
        <v>19</v>
      </c>
      <c r="E12" s="11" t="s">
        <v>20</v>
      </c>
      <c r="F12" s="12" t="s">
        <v>21</v>
      </c>
      <c r="G12" s="13" t="s">
        <v>22</v>
      </c>
      <c r="H12" s="14"/>
      <c r="I12" s="15" t="s">
        <v>42</v>
      </c>
      <c r="J12" s="16"/>
    </row>
    <row r="13" customFormat="false" ht="21.75" hidden="false" customHeight="true" outlineLevel="0" collapsed="false">
      <c r="A13" s="17"/>
      <c r="B13" s="25"/>
      <c r="C13" s="19"/>
      <c r="D13" s="19"/>
      <c r="E13" s="19"/>
      <c r="F13" s="20" t="s">
        <v>21</v>
      </c>
      <c r="G13" s="21" t="s">
        <v>22</v>
      </c>
      <c r="H13" s="22"/>
      <c r="I13" s="25"/>
      <c r="J13" s="24"/>
    </row>
    <row r="15" customFormat="false" ht="24" hidden="false" customHeight="true" outlineLevel="0" collapsed="false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</row>
    <row r="16" customFormat="false" ht="21.75" hidden="false" customHeight="true" outlineLevel="0" collapsed="false">
      <c r="A16" s="27" t="n">
        <v>9</v>
      </c>
      <c r="B16" s="10" t="s">
        <v>44</v>
      </c>
      <c r="C16" s="11" t="s">
        <v>32</v>
      </c>
      <c r="D16" s="11" t="s">
        <v>19</v>
      </c>
      <c r="E16" s="11" t="s">
        <v>20</v>
      </c>
      <c r="F16" s="12" t="s">
        <v>45</v>
      </c>
      <c r="G16" s="13" t="s">
        <v>22</v>
      </c>
      <c r="H16" s="14"/>
      <c r="I16" s="15" t="s">
        <v>46</v>
      </c>
      <c r="J16" s="16"/>
    </row>
    <row r="17" customFormat="false" ht="21.75" hidden="false" customHeight="true" outlineLevel="0" collapsed="false">
      <c r="A17" s="28" t="n">
        <v>10</v>
      </c>
      <c r="B17" s="18" t="s">
        <v>47</v>
      </c>
      <c r="C17" s="19" t="s">
        <v>36</v>
      </c>
      <c r="D17" s="19" t="s">
        <v>19</v>
      </c>
      <c r="E17" s="19" t="s">
        <v>20</v>
      </c>
      <c r="F17" s="20" t="s">
        <v>45</v>
      </c>
      <c r="G17" s="21" t="s">
        <v>22</v>
      </c>
      <c r="H17" s="22"/>
      <c r="I17" s="23" t="s">
        <v>48</v>
      </c>
      <c r="J17" s="24"/>
    </row>
    <row r="18" customFormat="false" ht="21.75" hidden="false" customHeight="true" outlineLevel="0" collapsed="false">
      <c r="A18" s="27" t="n">
        <v>11</v>
      </c>
      <c r="B18" s="10" t="s">
        <v>49</v>
      </c>
      <c r="C18" s="11" t="s">
        <v>25</v>
      </c>
      <c r="D18" s="11" t="s">
        <v>19</v>
      </c>
      <c r="E18" s="11" t="s">
        <v>33</v>
      </c>
      <c r="F18" s="12" t="s">
        <v>45</v>
      </c>
      <c r="G18" s="13" t="s">
        <v>22</v>
      </c>
      <c r="H18" s="14"/>
      <c r="I18" s="15" t="s">
        <v>50</v>
      </c>
      <c r="J18" s="16"/>
    </row>
    <row r="19" customFormat="false" ht="21.75" hidden="false" customHeight="true" outlineLevel="0" collapsed="false">
      <c r="A19" s="28" t="n">
        <v>12</v>
      </c>
      <c r="B19" s="18" t="s">
        <v>51</v>
      </c>
      <c r="C19" s="19" t="s">
        <v>18</v>
      </c>
      <c r="D19" s="19" t="s">
        <v>19</v>
      </c>
      <c r="E19" s="19" t="s">
        <v>20</v>
      </c>
      <c r="F19" s="20" t="s">
        <v>45</v>
      </c>
      <c r="G19" s="21" t="s">
        <v>22</v>
      </c>
      <c r="H19" s="22"/>
      <c r="I19" s="23" t="s">
        <v>52</v>
      </c>
      <c r="J19" s="24"/>
    </row>
    <row r="20" customFormat="false" ht="21.75" hidden="false" customHeight="true" outlineLevel="0" collapsed="false">
      <c r="A20" s="27" t="n">
        <v>13</v>
      </c>
      <c r="B20" s="10" t="s">
        <v>53</v>
      </c>
      <c r="C20" s="11" t="s">
        <v>54</v>
      </c>
      <c r="D20" s="11" t="s">
        <v>29</v>
      </c>
      <c r="E20" s="11" t="s">
        <v>33</v>
      </c>
      <c r="F20" s="12" t="s">
        <v>45</v>
      </c>
      <c r="G20" s="13" t="s">
        <v>22</v>
      </c>
      <c r="H20" s="14"/>
      <c r="I20" s="15" t="s">
        <v>55</v>
      </c>
      <c r="J20" s="16"/>
    </row>
    <row r="21" customFormat="false" ht="21.75" hidden="false" customHeight="true" outlineLevel="0" collapsed="false">
      <c r="A21" s="28" t="n">
        <v>14</v>
      </c>
      <c r="B21" s="18" t="s">
        <v>56</v>
      </c>
      <c r="C21" s="19" t="s">
        <v>25</v>
      </c>
      <c r="D21" s="19" t="s">
        <v>19</v>
      </c>
      <c r="E21" s="19" t="s">
        <v>33</v>
      </c>
      <c r="F21" s="20" t="s">
        <v>45</v>
      </c>
      <c r="G21" s="21" t="s">
        <v>22</v>
      </c>
      <c r="H21" s="22"/>
      <c r="I21" s="23" t="s">
        <v>57</v>
      </c>
      <c r="J21" s="24"/>
    </row>
    <row r="22" customFormat="false" ht="21.75" hidden="false" customHeight="true" outlineLevel="0" collapsed="false">
      <c r="A22" s="27"/>
      <c r="B22" s="29"/>
      <c r="C22" s="11"/>
      <c r="D22" s="11"/>
      <c r="E22" s="11"/>
      <c r="F22" s="12" t="s">
        <v>45</v>
      </c>
      <c r="G22" s="13" t="s">
        <v>22</v>
      </c>
      <c r="H22" s="14"/>
      <c r="I22" s="29"/>
      <c r="J22" s="16"/>
    </row>
    <row r="23" customFormat="false" ht="21.75" hidden="false" customHeight="true" outlineLevel="0" collapsed="false">
      <c r="A23" s="28"/>
      <c r="B23" s="25"/>
      <c r="C23" s="19"/>
      <c r="D23" s="19"/>
      <c r="E23" s="19"/>
      <c r="F23" s="20" t="s">
        <v>45</v>
      </c>
      <c r="G23" s="21" t="s">
        <v>22</v>
      </c>
      <c r="H23" s="22"/>
      <c r="I23" s="25"/>
      <c r="J23" s="24"/>
    </row>
    <row r="25" customFormat="false" ht="24" hidden="false" customHeight="true" outlineLevel="0" collapsed="false">
      <c r="A25" s="30" t="s">
        <v>58</v>
      </c>
      <c r="B25" s="30"/>
      <c r="C25" s="30"/>
      <c r="D25" s="30"/>
      <c r="E25" s="30"/>
      <c r="F25" s="30"/>
      <c r="G25" s="30"/>
      <c r="H25" s="30"/>
      <c r="I25" s="30"/>
      <c r="J25" s="30"/>
    </row>
    <row r="26" customFormat="false" ht="21.75" hidden="false" customHeight="true" outlineLevel="0" collapsed="false">
      <c r="A26" s="31" t="n">
        <v>17</v>
      </c>
      <c r="B26" s="10" t="s">
        <v>59</v>
      </c>
      <c r="C26" s="11" t="s">
        <v>41</v>
      </c>
      <c r="D26" s="11" t="s">
        <v>29</v>
      </c>
      <c r="E26" s="11" t="s">
        <v>20</v>
      </c>
      <c r="F26" s="12" t="s">
        <v>60</v>
      </c>
      <c r="G26" s="13" t="s">
        <v>22</v>
      </c>
      <c r="H26" s="14"/>
      <c r="I26" s="15" t="s">
        <v>61</v>
      </c>
      <c r="J26" s="16"/>
    </row>
    <row r="27" customFormat="false" ht="21.75" hidden="false" customHeight="true" outlineLevel="0" collapsed="false">
      <c r="A27" s="32" t="n">
        <v>18</v>
      </c>
      <c r="B27" s="18" t="s">
        <v>62</v>
      </c>
      <c r="C27" s="19" t="s">
        <v>36</v>
      </c>
      <c r="D27" s="19" t="s">
        <v>19</v>
      </c>
      <c r="E27" s="19" t="s">
        <v>20</v>
      </c>
      <c r="F27" s="20" t="s">
        <v>60</v>
      </c>
      <c r="G27" s="21" t="s">
        <v>22</v>
      </c>
      <c r="H27" s="22"/>
      <c r="I27" s="23" t="s">
        <v>63</v>
      </c>
      <c r="J27" s="24"/>
    </row>
    <row r="28" customFormat="false" ht="21.75" hidden="false" customHeight="true" outlineLevel="0" collapsed="false">
      <c r="A28" s="31" t="n">
        <v>19</v>
      </c>
      <c r="B28" s="10" t="s">
        <v>64</v>
      </c>
      <c r="C28" s="11" t="s">
        <v>65</v>
      </c>
      <c r="D28" s="11" t="s">
        <v>19</v>
      </c>
      <c r="E28" s="11" t="s">
        <v>33</v>
      </c>
      <c r="F28" s="12" t="s">
        <v>60</v>
      </c>
      <c r="G28" s="13" t="s">
        <v>22</v>
      </c>
      <c r="H28" s="14"/>
      <c r="I28" s="15" t="s">
        <v>66</v>
      </c>
      <c r="J28" s="16"/>
    </row>
    <row r="29" customFormat="false" ht="21.75" hidden="false" customHeight="true" outlineLevel="0" collapsed="false">
      <c r="A29" s="32" t="n">
        <v>20</v>
      </c>
      <c r="B29" s="18" t="s">
        <v>67</v>
      </c>
      <c r="C29" s="19" t="s">
        <v>54</v>
      </c>
      <c r="D29" s="19" t="s">
        <v>29</v>
      </c>
      <c r="E29" s="19" t="s">
        <v>33</v>
      </c>
      <c r="F29" s="20" t="s">
        <v>60</v>
      </c>
      <c r="G29" s="21" t="s">
        <v>22</v>
      </c>
      <c r="H29" s="22"/>
      <c r="I29" s="23" t="s">
        <v>68</v>
      </c>
      <c r="J29" s="24"/>
    </row>
    <row r="30" customFormat="false" ht="21.75" hidden="false" customHeight="true" outlineLevel="0" collapsed="false">
      <c r="A30" s="31" t="n">
        <v>21</v>
      </c>
      <c r="B30" s="10" t="s">
        <v>69</v>
      </c>
      <c r="C30" s="11" t="s">
        <v>65</v>
      </c>
      <c r="D30" s="11" t="s">
        <v>29</v>
      </c>
      <c r="E30" s="11" t="s">
        <v>20</v>
      </c>
      <c r="F30" s="12" t="s">
        <v>60</v>
      </c>
      <c r="G30" s="13" t="s">
        <v>22</v>
      </c>
      <c r="H30" s="14"/>
      <c r="I30" s="15" t="s">
        <v>70</v>
      </c>
      <c r="J30" s="16"/>
    </row>
    <row r="31" customFormat="false" ht="21.75" hidden="false" customHeight="true" outlineLevel="0" collapsed="false">
      <c r="A31" s="32" t="n">
        <v>22</v>
      </c>
      <c r="B31" s="18" t="s">
        <v>71</v>
      </c>
      <c r="C31" s="19" t="s">
        <v>65</v>
      </c>
      <c r="D31" s="19" t="s">
        <v>19</v>
      </c>
      <c r="E31" s="19" t="s">
        <v>72</v>
      </c>
      <c r="F31" s="20" t="s">
        <v>60</v>
      </c>
      <c r="G31" s="21" t="s">
        <v>22</v>
      </c>
      <c r="H31" s="22"/>
      <c r="I31" s="23" t="s">
        <v>73</v>
      </c>
      <c r="J31" s="24"/>
    </row>
    <row r="32" customFormat="false" ht="21.75" hidden="false" customHeight="true" outlineLevel="0" collapsed="false">
      <c r="A32" s="31"/>
      <c r="B32" s="29"/>
      <c r="C32" s="11"/>
      <c r="D32" s="11"/>
      <c r="E32" s="11"/>
      <c r="F32" s="12" t="s">
        <v>60</v>
      </c>
      <c r="G32" s="13" t="s">
        <v>22</v>
      </c>
      <c r="H32" s="14"/>
      <c r="I32" s="29"/>
      <c r="J32" s="16"/>
    </row>
    <row r="33" customFormat="false" ht="21.75" hidden="false" customHeight="true" outlineLevel="0" collapsed="false">
      <c r="A33" s="32"/>
      <c r="B33" s="25"/>
      <c r="C33" s="19"/>
      <c r="D33" s="19"/>
      <c r="E33" s="19"/>
      <c r="F33" s="20" t="s">
        <v>60</v>
      </c>
      <c r="G33" s="21" t="s">
        <v>22</v>
      </c>
      <c r="H33" s="22"/>
      <c r="I33" s="25"/>
      <c r="J33" s="24"/>
    </row>
  </sheetData>
  <mergeCells count="11">
    <mergeCell ref="A1:J1"/>
    <mergeCell ref="A2:B2"/>
    <mergeCell ref="C2:D2"/>
    <mergeCell ref="F2:G2"/>
    <mergeCell ref="I2:J2"/>
    <mergeCell ref="A3:B3"/>
    <mergeCell ref="C3:G3"/>
    <mergeCell ref="I3:J3"/>
    <mergeCell ref="A5:J5"/>
    <mergeCell ref="A15:J15"/>
    <mergeCell ref="A25:J25"/>
  </mergeCells>
  <conditionalFormatting sqref="G5:G35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"Deferred"</formula>
    </cfRule>
  </conditionalFormatting>
  <conditionalFormatting sqref="E5:E35">
    <cfRule type="cellIs" priority="6" operator="equal" aboveAverage="0" equalAverage="0" bottom="0" percent="0" rank="0" text="" dxfId="2">
      <formula>"Critical"</formula>
    </cfRule>
    <cfRule type="cellIs" priority="7" operator="equal" aboveAverage="0" equalAverage="0" bottom="0" percent="0" rank="0" text="" dxfId="3">
      <formula>"High"</formula>
    </cfRule>
  </conditionalFormatting>
  <dataValidations count="4">
    <dataValidation allowBlank="true" errorStyle="stop" operator="between" showDropDown="false" showErrorMessage="false" showInputMessage="false" sqref="E6:E13 E16:E23 E26:E33" type="list">
      <formula1>"Low,Medium,High,Critical"</formula1>
      <formula2>0</formula2>
    </dataValidation>
    <dataValidation allowBlank="true" errorStyle="stop" operator="between" showDropDown="false" showErrorMessage="false" showInputMessage="false" sqref="F6:F13 F16:F23 F26:F33" type="list">
      <formula1>"Phase 1 (Days 1-30),Phase 2 (Days 31-60),Phase 3 (Days 61-90)"</formula1>
      <formula2>0</formula2>
    </dataValidation>
    <dataValidation allowBlank="true" errorStyle="stop" operator="between" showDropDown="false" showErrorMessage="false" showInputMessage="false" sqref="G6:G13 G16:G23 G26:G33" type="list">
      <formula1>"Not Started,In Progress,Completed,Blocked,Deferred"</formula1>
      <formula2>0</formula2>
    </dataValidation>
    <dataValidation allowBlank="true" errorStyle="stop" operator="between" showDropDown="false" showErrorMessage="false" showInputMessage="false" sqref="C6:C12 C16:C21 C26:C31" type="list">
      <formula1>"SEO/Website,Social Media,Email,Paid Ads,Content,Local/Events,Branding,Analytics,Operations,Other"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2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74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33" t="s">
        <v>75</v>
      </c>
      <c r="B2" s="34"/>
      <c r="C2" s="34"/>
      <c r="D2" s="34"/>
      <c r="E2" s="34"/>
      <c r="F2" s="34"/>
      <c r="G2" s="34"/>
    </row>
    <row r="3" customFormat="false" ht="21.75" hidden="false" customHeight="true" outlineLevel="0" collapsed="false">
      <c r="A3" s="35" t="s">
        <v>76</v>
      </c>
      <c r="B3" s="36" t="n">
        <f aca="false">COUNTA('90-Day Roadmap'!B5:B35)-COUNTBLANK('90-Day Roadmap'!B5:B35)</f>
        <v>7</v>
      </c>
      <c r="C3" s="37"/>
      <c r="D3" s="37"/>
      <c r="E3" s="37"/>
      <c r="F3" s="37"/>
      <c r="G3" s="37"/>
    </row>
    <row r="4" customFormat="false" ht="21.75" hidden="false" customHeight="true" outlineLevel="0" collapsed="false">
      <c r="A4" s="38" t="s">
        <v>77</v>
      </c>
      <c r="B4" s="39" t="n">
        <f aca="false">COUNTIF('90-Day Roadmap'!G5:G35,"Completed")</f>
        <v>0</v>
      </c>
      <c r="C4" s="40"/>
      <c r="D4" s="40"/>
      <c r="E4" s="40"/>
      <c r="F4" s="40"/>
      <c r="G4" s="40"/>
    </row>
    <row r="5" customFormat="false" ht="21.75" hidden="false" customHeight="true" outlineLevel="0" collapsed="false">
      <c r="A5" s="41" t="s">
        <v>78</v>
      </c>
      <c r="B5" s="42" t="n">
        <f aca="false">COUNTIF('90-Day Roadmap'!G5:G35,"In Progress")</f>
        <v>0</v>
      </c>
      <c r="C5" s="43"/>
      <c r="D5" s="43"/>
      <c r="E5" s="43"/>
      <c r="F5" s="43"/>
      <c r="G5" s="43"/>
    </row>
    <row r="6" customFormat="false" ht="21.75" hidden="false" customHeight="true" outlineLevel="0" collapsed="false">
      <c r="A6" s="35" t="s">
        <v>22</v>
      </c>
      <c r="B6" s="44" t="n">
        <f aca="false">COUNTIF('90-Day Roadmap'!G5:G35,"Not Started")</f>
        <v>24</v>
      </c>
      <c r="C6" s="45"/>
      <c r="D6" s="45"/>
      <c r="E6" s="45"/>
      <c r="F6" s="45"/>
      <c r="G6" s="45"/>
    </row>
    <row r="7" customFormat="false" ht="21.75" hidden="false" customHeight="true" outlineLevel="0" collapsed="false">
      <c r="A7" s="46" t="s">
        <v>79</v>
      </c>
      <c r="B7" s="47" t="n">
        <f aca="false">COUNTIF('90-Day Roadmap'!G5:G35,"Blocked")</f>
        <v>0</v>
      </c>
      <c r="C7" s="48"/>
      <c r="D7" s="48"/>
      <c r="E7" s="48"/>
      <c r="F7" s="48"/>
      <c r="G7" s="48"/>
    </row>
    <row r="8" customFormat="false" ht="21.75" hidden="false" customHeight="true" outlineLevel="0" collapsed="false">
      <c r="A8" s="49" t="s">
        <v>80</v>
      </c>
      <c r="B8" s="50" t="n">
        <f aca="false">IFERROR(COUNTIF('90-Day Roadmap'!G5:G35,"Completed")/COUNTA('90-Day Roadmap'!B5:B35),0)</f>
        <v>0</v>
      </c>
      <c r="C8" s="51"/>
      <c r="D8" s="51"/>
      <c r="E8" s="51"/>
      <c r="F8" s="51"/>
      <c r="G8" s="51"/>
    </row>
    <row r="10" customFormat="false" ht="19.5" hidden="false" customHeight="true" outlineLevel="0" collapsed="false">
      <c r="A10" s="52" t="s">
        <v>81</v>
      </c>
      <c r="B10" s="53" t="s">
        <v>11</v>
      </c>
      <c r="C10" s="53" t="s">
        <v>82</v>
      </c>
      <c r="D10" s="53" t="s">
        <v>77</v>
      </c>
      <c r="E10" s="53" t="s">
        <v>78</v>
      </c>
      <c r="F10" s="53" t="s">
        <v>79</v>
      </c>
      <c r="G10" s="53" t="s">
        <v>83</v>
      </c>
    </row>
    <row r="11" customFormat="false" ht="19.5" hidden="false" customHeight="true" outlineLevel="0" collapsed="false">
      <c r="A11" s="49" t="s">
        <v>84</v>
      </c>
      <c r="B11" s="54" t="n">
        <f aca="false">COUNTIFS('90-Day Roadmap'!F5:F35,"Phase 1 (Days 1-30)",'90-Day Roadmap'!B5:B35,"&lt;&gt;")</f>
        <v>7</v>
      </c>
      <c r="C11" s="54" t="n">
        <f aca="false">COUNTIFS('90-Day Roadmap'!F5:F35,"Phase 1 (Days 1-30)",'90-Day Roadmap'!G5:G35,"Completed")</f>
        <v>0</v>
      </c>
      <c r="D11" s="54" t="n">
        <f aca="false">COUNTIFS('90-Day Roadmap'!F5:F35,"Phase 1 (Days 1-30)",'90-Day Roadmap'!G5:G35,"In Progress")</f>
        <v>0</v>
      </c>
      <c r="E11" s="54" t="n">
        <f aca="false">COUNTIFS('90-Day Roadmap'!F5:F35,"Phase 1 (Days 1-30)",'90-Day Roadmap'!G5:G35,"Blocked")</f>
        <v>0</v>
      </c>
      <c r="F11" s="55" t="n">
        <f aca="false">IFERROR(COUNTIFS('90-Day Roadmap'!F5:F35,"Phase 1 (Days 1-30)",'90-Day Roadmap'!G5:G35,"Completed")/COUNTIFS('90-Day Roadmap'!F5:F35,"Phase 1 (Days 1-30)",'90-Day Roadmap'!B5:B35,"&lt;&gt;"),0)</f>
        <v>0</v>
      </c>
      <c r="G11" s="56"/>
    </row>
    <row r="12" customFormat="false" ht="19.5" hidden="false" customHeight="true" outlineLevel="0" collapsed="false">
      <c r="A12" s="57" t="s">
        <v>85</v>
      </c>
      <c r="B12" s="58" t="n">
        <f aca="false">COUNTIFS('90-Day Roadmap'!F5:F35,"Phase 2 (Days 31-60)",'90-Day Roadmap'!B5:B35,"&lt;&gt;")</f>
        <v>6</v>
      </c>
      <c r="C12" s="58" t="n">
        <f aca="false">COUNTIFS('90-Day Roadmap'!F5:F35,"Phase 2 (Days 31-60)",'90-Day Roadmap'!G5:G35,"Completed")</f>
        <v>0</v>
      </c>
      <c r="D12" s="58" t="n">
        <f aca="false">COUNTIFS('90-Day Roadmap'!F5:F35,"Phase 2 (Days 31-60)",'90-Day Roadmap'!G5:G35,"In Progress")</f>
        <v>0</v>
      </c>
      <c r="E12" s="58" t="n">
        <f aca="false">COUNTIFS('90-Day Roadmap'!F5:F35,"Phase 2 (Days 31-60)",'90-Day Roadmap'!G5:G35,"Blocked")</f>
        <v>0</v>
      </c>
      <c r="F12" s="59" t="n">
        <f aca="false">IFERROR(COUNTIFS('90-Day Roadmap'!F5:F35,"Phase 2 (Days 31-60)",'90-Day Roadmap'!G5:G35,"Completed")/COUNTIFS('90-Day Roadmap'!F5:F35,"Phase 2 (Days 31-60)",'90-Day Roadmap'!B5:B35,"&lt;&gt;"),0)</f>
        <v>0</v>
      </c>
      <c r="G12" s="60"/>
    </row>
    <row r="13" customFormat="false" ht="19.5" hidden="false" customHeight="true" outlineLevel="0" collapsed="false">
      <c r="A13" s="38" t="s">
        <v>86</v>
      </c>
      <c r="B13" s="61" t="n">
        <f aca="false">COUNTIFS('90-Day Roadmap'!F5:F35,"Phase 3 (Days 61-90)",'90-Day Roadmap'!B5:B35,"&lt;&gt;")</f>
        <v>6</v>
      </c>
      <c r="C13" s="61" t="n">
        <f aca="false">COUNTIFS('90-Day Roadmap'!F5:F35,"Phase 3 (Days 61-90)",'90-Day Roadmap'!G5:G35,"Completed")</f>
        <v>0</v>
      </c>
      <c r="D13" s="61" t="n">
        <f aca="false">COUNTIFS('90-Day Roadmap'!F5:F35,"Phase 3 (Days 61-90)",'90-Day Roadmap'!G5:G35,"In Progress")</f>
        <v>0</v>
      </c>
      <c r="E13" s="61" t="n">
        <f aca="false">COUNTIFS('90-Day Roadmap'!F5:F35,"Phase 3 (Days 61-90)",'90-Day Roadmap'!G5:G35,"Blocked")</f>
        <v>0</v>
      </c>
      <c r="F13" s="62" t="n">
        <f aca="false">IFERROR(COUNTIFS('90-Day Roadmap'!F5:F35,"Phase 3 (Days 61-90)",'90-Day Roadmap'!G5:G35,"Completed")/COUNTIFS('90-Day Roadmap'!F5:F35,"Phase 3 (Days 61-90)",'90-Day Roadmap'!B5:B35,"&lt;&gt;"),0)</f>
        <v>0</v>
      </c>
      <c r="G13" s="63"/>
    </row>
  </sheetData>
  <mergeCells count="8">
    <mergeCell ref="A1:G1"/>
    <mergeCell ref="B2:G2"/>
    <mergeCell ref="C3:G3"/>
    <mergeCell ref="C4:G4"/>
    <mergeCell ref="C5:G5"/>
    <mergeCell ref="C6:G6"/>
    <mergeCell ref="C7:G7"/>
    <mergeCell ref="C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2026-04-17T06:38:34Z</dcterms:created>
  <dc:creator>openpyxl</dc:creator>
  <dc:description/>
  <dc:language>en-US</dc:language>
  <cp:lastModifiedBy/>
  <dcterms:modified xsi:type="dcterms:W3CDTF">2026-04-17T06:38:34Z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